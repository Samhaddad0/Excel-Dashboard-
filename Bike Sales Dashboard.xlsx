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166925"/>
  <mc:AlternateContent xmlns:mc="http://schemas.openxmlformats.org/markup-compatibility/2006">
    <mc:Choice Requires="x15">
      <x15ac:absPath xmlns:x15ac="http://schemas.microsoft.com/office/spreadsheetml/2010/11/ac" url="/Users/karamhaddad/Desktop/"/>
    </mc:Choice>
  </mc:AlternateContent>
  <xr:revisionPtr revIDLastSave="0" documentId="8_{C2624E12-7EBD-2549-8570-13C44B4108FF}" xr6:coauthVersionLast="47" xr6:coauthVersionMax="47" xr10:uidLastSave="{00000000-0000-0000-0000-000000000000}"/>
  <bookViews>
    <workbookView xWindow="0" yWindow="740" windowWidth="30240" windowHeight="18900" activeTab="3" xr2:uid="{00000000-000D-0000-FFFF-FFFF00000000}"/>
  </bookViews>
  <sheets>
    <sheet name="bike_buyers" sheetId="1" r:id="rId1"/>
    <sheet name="Working Sheet" sheetId="3" r:id="rId2"/>
    <sheet name="Pivot Table " sheetId="4" r:id="rId3"/>
    <sheet name="Dashboard" sheetId="2" r:id="rId4"/>
  </sheets>
  <definedNames>
    <definedName name="_xlnm._FilterDatabase" localSheetId="0" hidden="1">bike_buyers!$A$1:$M$1001</definedName>
    <definedName name="_xlnm._FilterDatabase" localSheetId="1" hidden="1">'Working Sheet'!$A$1:$N$1001</definedName>
    <definedName name="Slicer_Age_Brackets">#N/A</definedName>
    <definedName name="Slicer_Children">#N/A</definedName>
    <definedName name="Slicer_Education">#N/A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<sst xmlns="http://schemas.openxmlformats.org/spreadsheetml/2006/main" count="16263" uniqueCount="49">
  <si>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</si>
  <si>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</si>
  <si>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</si>
  <si>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</si>
  <si>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</si>
  <si>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</si>
  <si>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</si>
  <si>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</si>
  <si>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</si>
  <si>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</si>
  <si>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</si>
  <si>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</si>
  <si>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</si>
  <si>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</si>
  <si>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</si>
  <si>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</si>
  <si>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</si>
  <si>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</si>
  <si>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</si>
  <si>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</si>
  <si>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</si>
  <si>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</si>
  <si>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</si>
  <si>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</si>
  <si>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</si>
  <si>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</si>
  <si>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</si>
  <si>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</si>
  <si>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</si>
  <si>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</si>
  <si>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</si>
  <si>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</si>
  <si>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</si>
  <si>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</si>
  <si>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</si>
  <si>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</si>
  <si>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</si>
  <si>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</si>
  <si>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</si>
  <si>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Single</t>
  </si>
  <si>
    <t xml:space="preserve">Age Brackets </t>
  </si>
  <si>
    <t xml:space="preserve">Marital status </t>
  </si>
  <si>
    <t>Row Labels</t>
  </si>
  <si>
    <t>Grand Total</t>
  </si>
  <si>
    <t>Average of Income</t>
  </si>
  <si>
    <t>Count of Purchased Bike</t>
  </si>
  <si>
    <t xml:space="preserve">More than 10 Miles </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</si>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</sst>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20" fillId="33" borderId="0" xfId="0" applyFont="1"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"$"#,##0.00</c:formatCode>
                <c:ptCount val="2"/>
                <c:pt idx="0">
                  <c:v>75000</c:v>
                </c:pt>
                <c:pt idx="1">
                  <c:v>80000</c:v>
                </c:pt>
              </c:numCache>
            </c:numRef>
          </c:val>
          <c:extLst>
            <c:ext xmlns:c16="http://schemas.microsoft.com/office/drawing/2014/chart" uri="{C3380CC4-5D6E-409C-BE32-E72D297353CC}">
              <c16:uniqueId val="{00000000-E9DA-D44F-AAB7-7D51D40E0CD5}"/>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"$"#,##0.00</c:formatCode>
                <c:ptCount val="2"/>
                <c:pt idx="0">
                  <c:v>90000</c:v>
                </c:pt>
                <c:pt idx="1">
                  <c:v>70000</c:v>
                </c:pt>
              </c:numCache>
            </c:numRef>
          </c:val>
          <c:extLst>
            <c:ext xmlns:c16="http://schemas.microsoft.com/office/drawing/2014/chart" uri="{C3380CC4-5D6E-409C-BE32-E72D297353CC}">
              <c16:uniqueId val="{00000000-18F4-7241-8F43-28C0A8DCEC42}"/>
            </c:ext>
          </c:extLst>
        </c:ser>
        <c:dLbls>
          <c:showLegendKey val="0"/>
          <c:showVal val="0"/>
          <c:showCatName val="0"/>
          <c:showSerName val="0"/>
          <c:showPercent val="0"/>
          <c:showBubbleSize val="0"/>
        </c:dLbls>
        <c:gapWidth val="150"/>
        <c:axId val="176113487"/>
        <c:axId val="459577423"/>
      </c:barChart>
      <c:catAx>
        <c:axId val="176113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77423"/>
        <c:crosses val="autoZero"/>
        <c:auto val="1"/>
        <c:lblAlgn val="ctr"/>
        <c:lblOffset val="100"/>
        <c:noMultiLvlLbl val="0"/>
      </c:catAx>
      <c:valAx>
        <c:axId val="4595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3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 '!$B$30:$B$31</c:f>
              <c:strCache>
                <c:ptCount val="1"/>
                <c:pt idx="0">
                  <c:v>No</c:v>
                </c:pt>
              </c:strCache>
            </c:strRef>
          </c:tx>
          <c:spPr>
            <a:ln w="28575" cap="rnd">
              <a:solidFill>
                <a:schemeClr val="accent1"/>
              </a:solidFill>
              <a:round/>
            </a:ln>
            <a:effectLst/>
          </c:spPr>
          <c:marker>
            <c:symbol val="none"/>
          </c:marker>
          <c:cat>
            <c:strRef>
              <c:f>'Pivot Table '!$A$32:$A$35</c:f>
              <c:strCache>
                <c:ptCount val="3"/>
                <c:pt idx="0">
                  <c:v>0-1 Miles</c:v>
                </c:pt>
                <c:pt idx="1">
                  <c:v>2-5 Miles</c:v>
                </c:pt>
                <c:pt idx="2">
                  <c:v>5-10 Miles</c:v>
                </c:pt>
              </c:strCache>
            </c:strRef>
          </c:cat>
          <c:val>
            <c:numRef>
              <c:f>'Pivot Table '!$B$32:$B$35</c:f>
              <c:numCache>
                <c:formatCode>General</c:formatCode>
                <c:ptCount val="3"/>
                <c:pt idx="1">
                  <c:v>1</c:v>
                </c:pt>
                <c:pt idx="2">
                  <c:v>3</c:v>
                </c:pt>
              </c:numCache>
            </c:numRef>
          </c:val>
          <c:smooth val="0"/>
          <c:extLst>
            <c:ext xmlns:c16="http://schemas.microsoft.com/office/drawing/2014/chart" uri="{C3380CC4-5D6E-409C-BE32-E72D297353CC}">
              <c16:uniqueId val="{00000000-6734-A443-B0C3-4D9F84F201F8}"/>
            </c:ext>
          </c:extLst>
        </c:ser>
        <c:ser>
          <c:idx val="1"/>
          <c:order val="1"/>
          <c:tx>
            <c:strRef>
              <c:f>'Pivot Table '!$C$30:$C$31</c:f>
              <c:strCache>
                <c:ptCount val="1"/>
                <c:pt idx="0">
                  <c:v>Yes</c:v>
                </c:pt>
              </c:strCache>
            </c:strRef>
          </c:tx>
          <c:spPr>
            <a:ln w="28575" cap="rnd">
              <a:solidFill>
                <a:schemeClr val="accent2"/>
              </a:solidFill>
              <a:round/>
            </a:ln>
            <a:effectLst/>
          </c:spPr>
          <c:marker>
            <c:symbol val="none"/>
          </c:marker>
          <c:cat>
            <c:strRef>
              <c:f>'Pivot Table '!$A$32:$A$35</c:f>
              <c:strCache>
                <c:ptCount val="3"/>
                <c:pt idx="0">
                  <c:v>0-1 Miles</c:v>
                </c:pt>
                <c:pt idx="1">
                  <c:v>2-5 Miles</c:v>
                </c:pt>
                <c:pt idx="2">
                  <c:v>5-10 Miles</c:v>
                </c:pt>
              </c:strCache>
            </c:strRef>
          </c:cat>
          <c:val>
            <c:numRef>
              <c:f>'Pivot Table '!$C$32:$C$35</c:f>
              <c:numCache>
                <c:formatCode>General</c:formatCode>
                <c:ptCount val="3"/>
                <c:pt idx="0">
                  <c:v>3</c:v>
                </c:pt>
                <c:pt idx="1">
                  <c:v>2</c:v>
                </c:pt>
                <c:pt idx="2">
                  <c:v>3</c:v>
                </c:pt>
              </c:numCache>
            </c:numRef>
          </c:val>
          <c:smooth val="0"/>
          <c:extLst>
            <c:ext xmlns:c16="http://schemas.microsoft.com/office/drawing/2014/chart" uri="{C3380CC4-5D6E-409C-BE32-E72D297353CC}">
              <c16:uniqueId val="{00000000-0159-C546-9FF6-03563BD8584F}"/>
            </c:ext>
          </c:extLst>
        </c:ser>
        <c:dLbls>
          <c:showLegendKey val="0"/>
          <c:showVal val="0"/>
          <c:showCatName val="0"/>
          <c:showSerName val="0"/>
          <c:showPercent val="0"/>
          <c:showBubbleSize val="0"/>
        </c:dLbls>
        <c:smooth val="0"/>
        <c:axId val="244782271"/>
        <c:axId val="397001359"/>
      </c:lineChart>
      <c:catAx>
        <c:axId val="24478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01359"/>
        <c:crosses val="autoZero"/>
        <c:auto val="1"/>
        <c:lblAlgn val="ctr"/>
        <c:lblOffset val="100"/>
        <c:noMultiLvlLbl val="0"/>
      </c:catAx>
      <c:valAx>
        <c:axId val="39700135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 !PivotTable3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'!$B$58:$B$59</c:f>
              <c:strCache>
                <c:ptCount val="1"/>
                <c:pt idx="0">
                  <c:v>No</c:v>
                </c:pt>
              </c:strCache>
            </c:strRef>
          </c:tx>
          <c:spPr>
            <a:solidFill>
              <a:schemeClr val="accent1"/>
            </a:solidFill>
            <a:ln>
              <a:noFill/>
            </a:ln>
            <a:effectLst/>
          </c:spPr>
          <c:invertIfNegative val="0"/>
          <c:cat>
            <c:strRef>
              <c:f>'Pivot Table '!$A$60:$A$61</c:f>
              <c:strCache>
                <c:ptCount val="1"/>
                <c:pt idx="0">
                  <c:v>Middle Age</c:v>
                </c:pt>
              </c:strCache>
            </c:strRef>
          </c:cat>
          <c:val>
            <c:numRef>
              <c:f>'Pivot Table '!$B$60:$B$61</c:f>
              <c:numCache>
                <c:formatCode>General</c:formatCode>
                <c:ptCount val="1"/>
                <c:pt idx="0">
                  <c:v>4</c:v>
                </c:pt>
              </c:numCache>
            </c:numRef>
          </c:val>
          <c:extLst>
            <c:ext xmlns:c16="http://schemas.microsoft.com/office/drawing/2014/chart" uri="{C3380CC4-5D6E-409C-BE32-E72D297353CC}">
              <c16:uniqueId val="{00000000-4585-B34F-BC55-66654834781D}"/>
            </c:ext>
          </c:extLst>
        </c:ser>
        <c:ser>
          <c:idx val="1"/>
          <c:order val="1"/>
          <c:tx>
            <c:strRef>
              <c:f>'Pivot Table '!$C$58:$C$59</c:f>
              <c:strCache>
                <c:ptCount val="1"/>
                <c:pt idx="0">
                  <c:v>Yes</c:v>
                </c:pt>
              </c:strCache>
            </c:strRef>
          </c:tx>
          <c:spPr>
            <a:solidFill>
              <a:schemeClr val="accent2"/>
            </a:solidFill>
            <a:ln>
              <a:noFill/>
            </a:ln>
            <a:effectLst/>
          </c:spPr>
          <c:invertIfNegative val="0"/>
          <c:cat>
            <c:strRef>
              <c:f>'Pivot Table '!$A$60:$A$61</c:f>
              <c:strCache>
                <c:ptCount val="1"/>
                <c:pt idx="0">
                  <c:v>Middle Age</c:v>
                </c:pt>
              </c:strCache>
            </c:strRef>
          </c:cat>
          <c:val>
            <c:numRef>
              <c:f>'Pivot Table '!$C$60:$C$61</c:f>
              <c:numCache>
                <c:formatCode>General</c:formatCode>
                <c:ptCount val="1"/>
                <c:pt idx="0">
                  <c:v>8</c:v>
                </c:pt>
              </c:numCache>
            </c:numRef>
          </c:val>
          <c:extLst>
            <c:ext xmlns:c16="http://schemas.microsoft.com/office/drawing/2014/chart" uri="{C3380CC4-5D6E-409C-BE32-E72D297353CC}">
              <c16:uniqueId val="{00000001-4585-B34F-BC55-66654834781D}"/>
            </c:ext>
          </c:extLst>
        </c:ser>
        <c:dLbls>
          <c:showLegendKey val="0"/>
          <c:showVal val="0"/>
          <c:showCatName val="0"/>
          <c:showSerName val="0"/>
          <c:showPercent val="0"/>
          <c:showBubbleSize val="0"/>
        </c:dLbls>
        <c:gapWidth val="219"/>
        <c:overlap val="-27"/>
        <c:axId val="1399802800"/>
        <c:axId val="522132783"/>
      </c:barChart>
      <c:catAx>
        <c:axId val="13998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32783"/>
        <c:crosses val="autoZero"/>
        <c:auto val="1"/>
        <c:lblAlgn val="ctr"/>
        <c:lblOffset val="100"/>
        <c:noMultiLvlLbl val="0"/>
      </c:catAx>
      <c:valAx>
        <c:axId val="52213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80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 !PivotTable1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'!$A$5:$A$7</c:f>
              <c:strCache>
                <c:ptCount val="2"/>
                <c:pt idx="0">
                  <c:v>Female</c:v>
                </c:pt>
                <c:pt idx="1">
                  <c:v>Male</c:v>
                </c:pt>
              </c:strCache>
            </c:strRef>
          </c:cat>
          <c:val>
            <c:numRef>
              <c:f>'Pivot Table '!$B$5:$B$7</c:f>
              <c:numCache>
                <c:formatCode>"$"#,##0.00</c:formatCode>
                <c:ptCount val="2"/>
                <c:pt idx="0">
                  <c:v>75000</c:v>
                </c:pt>
                <c:pt idx="1">
                  <c:v>80000</c:v>
                </c:pt>
              </c:numCache>
            </c:numRef>
          </c:val>
          <c:extLst>
            <c:ext xmlns:c16="http://schemas.microsoft.com/office/drawing/2014/chart" uri="{C3380CC4-5D6E-409C-BE32-E72D297353CC}">
              <c16:uniqueId val="{00000000-09C9-F147-A3A1-A4FED0B54A0F}"/>
            </c:ext>
          </c:extLst>
        </c:ser>
        <c:ser>
          <c:idx val="1"/>
          <c:order val="1"/>
          <c:tx>
            <c:strRef>
              <c:f>'Pivot Table '!$C$3:$C$4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'!$A$5:$A$7</c:f>
              <c:strCache>
                <c:ptCount val="2"/>
                <c:pt idx="0">
                  <c:v>Female</c:v>
                </c:pt>
                <c:pt idx="1">
                  <c:v>Male</c:v>
                </c:pt>
              </c:strCache>
            </c:strRef>
          </c:cat>
          <c:val>
            <c:numRef>
              <c:f>'Pivot Table '!$C$5:$C$7</c:f>
              <c:numCache>
                <c:formatCode>"$"#,##0.00</c:formatCode>
                <c:ptCount val="2"/>
                <c:pt idx="0">
                  <c:v>90000</c:v>
                </c:pt>
                <c:pt idx="1">
                  <c:v>70000</c:v>
                </c:pt>
              </c:numCache>
            </c:numRef>
          </c:val>
          <c:extLst>
            <c:ext xmlns:c16="http://schemas.microsoft.com/office/drawing/2014/chart" uri="{C3380CC4-5D6E-409C-BE32-E72D297353CC}">
              <c16:uniqueId val="{00000001-6197-D34C-97D5-B64243FB0401}"/>
            </c:ext>
          </c:extLst>
        </c:ser>
        <c:dLbls>
          <c:dLblPos val="outEnd"/>
          <c:showLegendKey val="0"/>
          <c:showVal val="1"/>
          <c:showCatName val="0"/>
          <c:showSerName val="0"/>
          <c:showPercent val="0"/>
          <c:showBubbleSize val="0"/>
        </c:dLbls>
        <c:gapWidth val="100"/>
        <c:overlap val="-24"/>
        <c:axId val="176113487"/>
        <c:axId val="459577423"/>
      </c:barChart>
      <c:catAx>
        <c:axId val="1761134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100"/>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9577423"/>
        <c:crosses val="autoZero"/>
        <c:auto val="1"/>
        <c:lblAlgn val="ctr"/>
        <c:lblOffset val="100"/>
        <c:noMultiLvlLbl val="0"/>
      </c:catAx>
      <c:valAx>
        <c:axId val="45957742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200"/>
                  <a:t>Income</a:t>
                </a:r>
                <a:r>
                  <a:rPr lang="en-US"/>
                  <a: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11348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 !PivotTable2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'!$B$30:$B$31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'!$A$32:$A$35</c:f>
              <c:strCache>
                <c:ptCount val="3"/>
                <c:pt idx="0">
                  <c:v>0-1 Miles</c:v>
                </c:pt>
                <c:pt idx="1">
                  <c:v>2-5 Miles</c:v>
                </c:pt>
                <c:pt idx="2">
                  <c:v>5-10 Miles</c:v>
                </c:pt>
              </c:strCache>
            </c:strRef>
          </c:cat>
          <c:val>
            <c:numRef>
              <c:f>'Pivot Table '!$B$32:$B$35</c:f>
              <c:numCache>
                <c:formatCode>General</c:formatCode>
                <c:ptCount val="3"/>
                <c:pt idx="1">
                  <c:v>1</c:v>
                </c:pt>
                <c:pt idx="2">
                  <c:v>3</c:v>
                </c:pt>
              </c:numCache>
            </c:numRef>
          </c:val>
          <c:smooth val="0"/>
          <c:extLst>
            <c:ext xmlns:c16="http://schemas.microsoft.com/office/drawing/2014/chart" uri="{C3380CC4-5D6E-409C-BE32-E72D297353CC}">
              <c16:uniqueId val="{00000000-2412-8D42-B2AF-ED8EDFB9DF8E}"/>
            </c:ext>
          </c:extLst>
        </c:ser>
        <c:ser>
          <c:idx val="1"/>
          <c:order val="1"/>
          <c:tx>
            <c:strRef>
              <c:f>'Pivot Table '!$C$30:$C$31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'!$A$32:$A$35</c:f>
              <c:strCache>
                <c:ptCount val="3"/>
                <c:pt idx="0">
                  <c:v>0-1 Miles</c:v>
                </c:pt>
                <c:pt idx="1">
                  <c:v>2-5 Miles</c:v>
                </c:pt>
                <c:pt idx="2">
                  <c:v>5-10 Miles</c:v>
                </c:pt>
              </c:strCache>
            </c:strRef>
          </c:cat>
          <c:val>
            <c:numRef>
              <c:f>'Pivot Table '!$C$32:$C$35</c:f>
              <c:numCache>
                <c:formatCode>General</c:formatCode>
                <c:ptCount val="3"/>
                <c:pt idx="0">
                  <c:v>3</c:v>
                </c:pt>
                <c:pt idx="1">
                  <c:v>2</c:v>
                </c:pt>
                <c:pt idx="2">
                  <c:v>3</c:v>
                </c:pt>
              </c:numCache>
            </c:numRef>
          </c:val>
          <c:smooth val="0"/>
          <c:extLst>
            <c:ext xmlns:c16="http://schemas.microsoft.com/office/drawing/2014/chart" uri="{C3380CC4-5D6E-409C-BE32-E72D297353CC}">
              <c16:uniqueId val="{00000001-BC2F-E242-B869-0FF8731B98EF}"/>
            </c:ext>
          </c:extLst>
        </c:ser>
        <c:dLbls>
          <c:showLegendKey val="0"/>
          <c:showVal val="0"/>
          <c:showCatName val="0"/>
          <c:showSerName val="0"/>
          <c:showPercent val="0"/>
          <c:showBubbleSize val="0"/>
        </c:dLbls>
        <c:marker val="1"/>
        <c:smooth val="0"/>
        <c:axId val="244782271"/>
        <c:axId val="397001359"/>
      </c:lineChart>
      <c:catAx>
        <c:axId val="244782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200"/>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001359"/>
        <c:crosses val="autoZero"/>
        <c:auto val="1"/>
        <c:lblAlgn val="ctr"/>
        <c:lblOffset val="100"/>
        <c:noMultiLvlLbl val="0"/>
      </c:catAx>
      <c:valAx>
        <c:axId val="3970013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47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 !PivotTable3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'!$B$58:$B$59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'!$A$60:$A$61</c:f>
              <c:strCache>
                <c:ptCount val="1"/>
                <c:pt idx="0">
                  <c:v>Middle Age</c:v>
                </c:pt>
              </c:strCache>
            </c:strRef>
          </c:cat>
          <c:val>
            <c:numRef>
              <c:f>'Pivot Table '!$B$60:$B$61</c:f>
              <c:numCache>
                <c:formatCode>General</c:formatCode>
                <c:ptCount val="1"/>
                <c:pt idx="0">
                  <c:v>4</c:v>
                </c:pt>
              </c:numCache>
            </c:numRef>
          </c:val>
          <c:smooth val="0"/>
          <c:extLst>
            <c:ext xmlns:c16="http://schemas.microsoft.com/office/drawing/2014/chart" uri="{C3380CC4-5D6E-409C-BE32-E72D297353CC}">
              <c16:uniqueId val="{00000000-4B8F-904A-B2CE-980AA5D491A2}"/>
            </c:ext>
          </c:extLst>
        </c:ser>
        <c:ser>
          <c:idx val="1"/>
          <c:order val="1"/>
          <c:tx>
            <c:strRef>
              <c:f>'Pivot Table '!$C$58:$C$59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'!$A$60:$A$61</c:f>
              <c:strCache>
                <c:ptCount val="1"/>
                <c:pt idx="0">
                  <c:v>Middle Age</c:v>
                </c:pt>
              </c:strCache>
            </c:strRef>
          </c:cat>
          <c:val>
            <c:numRef>
              <c:f>'Pivot Table '!$C$60:$C$61</c:f>
              <c:numCache>
                <c:formatCode>General</c:formatCode>
                <c:ptCount val="1"/>
                <c:pt idx="0">
                  <c:v>8</c:v>
                </c:pt>
              </c:numCache>
            </c:numRef>
          </c:val>
          <c:smooth val="0"/>
          <c:extLst>
            <c:ext xmlns:c16="http://schemas.microsoft.com/office/drawing/2014/chart" uri="{C3380CC4-5D6E-409C-BE32-E72D297353CC}">
              <c16:uniqueId val="{00000001-44D9-9445-8463-4D1D9D3EDECA}"/>
            </c:ext>
          </c:extLst>
        </c:ser>
        <c:dLbls>
          <c:showLegendKey val="0"/>
          <c:showVal val="0"/>
          <c:showCatName val="0"/>
          <c:showSerName val="0"/>
          <c:showPercent val="0"/>
          <c:showBubbleSize val="0"/>
        </c:dLbls>
        <c:marker val="1"/>
        <c:smooth val="0"/>
        <c:axId val="334435615"/>
        <c:axId val="334437263"/>
      </c:lineChart>
      <c:catAx>
        <c:axId val="3344356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100"/>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4437263"/>
        <c:crosses val="autoZero"/>
        <c:auto val="1"/>
        <c:lblAlgn val="ctr"/>
        <c:lblOffset val="100"/>
        <c:noMultiLvlLbl val="0"/>
      </c:catAx>
      <c:valAx>
        <c:axId val="3344372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200"/>
                  <a:t>Number of Purchases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443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76200</xdr:rowOff>
    </xdr:from>
    <xdr:to>
      <xdr:col>4</xdr:col>
      <xdr:colOff>38100</xdr:colOff>
      <xdr:row>26</xdr:row>
      <xdr:rowOff>63500</xdr:rowOff>
    </xdr:to>
    <xdr:graphicFrame macro="">
      <xdr:nvGraphicFramePr>
        <xdr:cNvPr id="2" name="Average of Income">
          <a:extLst>
            <a:ext uri="{FF2B5EF4-FFF2-40B4-BE49-F238E27FC236}">
              <a16:creationId xmlns:a16="http://schemas.microsoft.com/office/drawing/2014/main" id="{7FDE17C3-369A-EFE9-2145-30A975AD8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28818</xdr:rowOff>
    </xdr:from>
    <xdr:to>
      <xdr:col>4</xdr:col>
      <xdr:colOff>0</xdr:colOff>
      <xdr:row>50</xdr:row>
      <xdr:rowOff>164353</xdr:rowOff>
    </xdr:to>
    <xdr:graphicFrame macro="">
      <xdr:nvGraphicFramePr>
        <xdr:cNvPr id="5" name="Chart 4">
          <a:extLst>
            <a:ext uri="{FF2B5EF4-FFF2-40B4-BE49-F238E27FC236}">
              <a16:creationId xmlns:a16="http://schemas.microsoft.com/office/drawing/2014/main" id="{C155E086-23E6-0851-6FD9-EE036F623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34896</xdr:rowOff>
    </xdr:from>
    <xdr:to>
      <xdr:col>4</xdr:col>
      <xdr:colOff>23738</xdr:colOff>
      <xdr:row>76</xdr:row>
      <xdr:rowOff>35608</xdr:rowOff>
    </xdr:to>
    <xdr:graphicFrame macro="">
      <xdr:nvGraphicFramePr>
        <xdr:cNvPr id="3" name="Chart 2">
          <a:extLst>
            <a:ext uri="{FF2B5EF4-FFF2-40B4-BE49-F238E27FC236}">
              <a16:creationId xmlns:a16="http://schemas.microsoft.com/office/drawing/2014/main" id="{C0970350-B26A-D60A-D259-70BD60513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177800</xdr:colOff>
      <xdr:row>6</xdr:row>
      <xdr:rowOff>8317</xdr:rowOff>
    </xdr:from>
    <xdr:to>
      <xdr:col>8</xdr:col>
      <xdr:colOff>368300</xdr:colOff>
      <xdr:row>23</xdr:row>
      <xdr:rowOff>32152</xdr:rowOff>
    </xdr:to>
    <xdr:graphicFrame macro="">
      <xdr:nvGraphicFramePr>
        <xdr:cNvPr id="2" name="Average of Income">
          <a:extLst>
            <a:ext uri="{FF2B5EF4-FFF2-40B4-BE49-F238E27FC236}">
              <a16:creationId xmlns:a16="http://schemas.microsoft.com/office/drawing/2014/main" id="{F2F7D4B4-71D1-0346-AD14-A1F08AA85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165100</xdr:colOff>
      <xdr:row>23</xdr:row>
      <xdr:rowOff>50800</xdr:rowOff>
    </xdr:from>
    <xdr:to>
      <xdr:col>15</xdr:col>
      <xdr:colOff>16077</xdr:colOff>
      <xdr:row>43</xdr:row>
      <xdr:rowOff>59267</xdr:rowOff>
    </xdr:to>
    <xdr:graphicFrame macro="">
      <xdr:nvGraphicFramePr>
        <xdr:cNvPr id="3" name="Chart 2">
          <a:extLst>
            <a:ext uri="{FF2B5EF4-FFF2-40B4-BE49-F238E27FC236}">
              <a16:creationId xmlns:a16="http://schemas.microsoft.com/office/drawing/2014/main" id="{1E956C59-3890-1544-9184-48E8C026E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393699</xdr:colOff>
      <xdr:row>6</xdr:row>
      <xdr:rowOff>8317</xdr:rowOff>
    </xdr:from>
    <xdr:to>
      <xdr:col>15</xdr:col>
      <xdr:colOff>14852</xdr:colOff>
      <xdr:row>23</xdr:row>
      <xdr:rowOff>37134</xdr:rowOff>
    </xdr:to>
    <xdr:graphicFrame macro="">
      <xdr:nvGraphicFramePr>
        <xdr:cNvPr id="4" name="Chart 3">
          <a:extLst>
            <a:ext uri="{FF2B5EF4-FFF2-40B4-BE49-F238E27FC236}">
              <a16:creationId xmlns:a16="http://schemas.microsoft.com/office/drawing/2014/main" id="{397CC4CD-09D2-6243-A173-006814E65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1</xdr:rowOff>
    </xdr:from>
    <xdr:to>
      <xdr:col>2</xdr:col>
      <xdr:colOff>164354</xdr:colOff>
      <xdr:row>10</xdr:row>
      <xdr:rowOff>149412</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D91EFA27-60C3-334B-C520-166DD0D6C811}"/>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1" y="1151861"/>
              <a:ext cx="1818306" cy="917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179293</xdr:rowOff>
    </xdr:from>
    <xdr:to>
      <xdr:col>2</xdr:col>
      <xdr:colOff>172528</xdr:colOff>
      <xdr:row>26</xdr:row>
      <xdr:rowOff>62301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B6E6353-4FD2-5D66-D41C-7798B54536A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0921"/>
              <a:ext cx="1826481" cy="180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177800</xdr:rowOff>
    </xdr:from>
    <xdr:to>
      <xdr:col>2</xdr:col>
      <xdr:colOff>164354</xdr:colOff>
      <xdr:row>16</xdr:row>
      <xdr:rowOff>179294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A120AA8-E0E3-AA8B-BC9B-A1826DB0E0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2097567"/>
              <a:ext cx="1818306" cy="1153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77250</xdr:rowOff>
    </xdr:from>
    <xdr:to>
      <xdr:col>2</xdr:col>
      <xdr:colOff>164052</xdr:colOff>
      <xdr:row>33</xdr:row>
      <xdr:rowOff>58257</xdr:rowOff>
    </xdr:to>
    <mc:AlternateContent xmlns:mc="http://schemas.openxmlformats.org/markup-compatibility/2006" xmlns:a14="http://schemas.microsoft.com/office/drawing/2010/main">
      <mc:Choice Requires="a14">
        <xdr:graphicFrame macro="">
          <xdr:nvGraphicFramePr>
            <xdr:cNvPr id="8" name="Age Brackets ">
              <a:extLst>
                <a:ext uri="{FF2B5EF4-FFF2-40B4-BE49-F238E27FC236}">
                  <a16:creationId xmlns:a16="http://schemas.microsoft.com/office/drawing/2014/main" id="{81623741-0F2E-9380-7C25-1648B0FA7EBE}"/>
                </a:ext>
              </a:extLst>
            </xdr:cNvPr>
            <xdr:cNvGraphicFramePr/>
          </xdr:nvGraphicFramePr>
          <xdr:xfrm>
            <a:off x="0" y="0"/>
            <a:ext cx="0" cy="0"/>
          </xdr:xfrm>
          <a:graphic>
            <a:graphicData uri="http://schemas.microsoft.com/office/drawing/2010/slicer">
              <sle:slicer xmlns:sle="http://schemas.microsoft.com/office/drawing/2010/slicer" name="Age Brackets "/>
            </a:graphicData>
          </a:graphic>
        </xdr:graphicFrame>
      </mc:Choice>
      <mc:Fallback xmlns="">
        <xdr:sp macro="" textlink="">
          <xdr:nvSpPr>
            <xdr:cNvPr id="0" name=""/>
            <xdr:cNvSpPr>
              <a:spLocks noTextEdit="1"/>
            </xdr:cNvSpPr>
          </xdr:nvSpPr>
          <xdr:spPr>
            <a:xfrm>
              <a:off x="0" y="5068645"/>
              <a:ext cx="1818005" cy="1324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50801</xdr:rowOff>
    </xdr:from>
    <xdr:to>
      <xdr:col>2</xdr:col>
      <xdr:colOff>143933</xdr:colOff>
      <xdr:row>43</xdr:row>
      <xdr:rowOff>69910</xdr:rowOff>
    </xdr:to>
    <mc:AlternateContent xmlns:mc="http://schemas.openxmlformats.org/markup-compatibility/2006" xmlns:a14="http://schemas.microsoft.com/office/drawing/2010/main">
      <mc:Choice Requires="a14">
        <xdr:graphicFrame macro="">
          <xdr:nvGraphicFramePr>
            <xdr:cNvPr id="9" name="Children">
              <a:extLst>
                <a:ext uri="{FF2B5EF4-FFF2-40B4-BE49-F238E27FC236}">
                  <a16:creationId xmlns:a16="http://schemas.microsoft.com/office/drawing/2014/main" id="{74392B42-94E6-450C-BEEE-5E1626D6003F}"/>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0" y="6386034"/>
              <a:ext cx="1797886" cy="1938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m haddad" refreshedDate="45979.69492962963" createdVersion="8" refreshedVersion="8" minRefreshableVersion="3" recordCount="1000" xr:uid="{B0FF077D-E576-6F43-A537-BDABB2E32BA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40966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5D895-B7B5-A549-A055-235B01C74A9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colHeaderCaption="Purchased Bike">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items count="4">
        <item h="1" x="2"/>
        <item x="0"/>
        <item h="1"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1">
    <format dxfId="1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4716AE-43F3-7946-A63A-217E0063B59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colHeaderCaption="Purchased Bike">
  <location ref="A58:D61" firstHeaderRow="1" firstDataRow="2" firstDataCol="1"/>
  <pivotFields count="14">
    <pivotField showAll="0"/>
    <pivotField showAll="0">
      <items count="3">
        <item x="0"/>
        <item h="1" x="1"/>
        <item t="default"/>
      </items>
    </pivotField>
    <pivotField showAll="0"/>
    <pivotField numFmtId="164"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h="1" x="2"/>
        <item x="0"/>
        <item h="1" x="1"/>
        <item t="default"/>
      </items>
    </pivotField>
    <pivotField axis="axisCol" dataField="1" showAll="0">
      <items count="3">
        <item x="0"/>
        <item x="1"/>
        <item t="default"/>
      </items>
    </pivotField>
  </pivotFields>
  <rowFields count="1">
    <field x="12"/>
  </rowFields>
  <rowItems count="2">
    <i>
      <x v="1"/>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E65DB2-479B-294D-A8D7-09DBF8B25AD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colHeaderCaption="Purchased Bike">
  <location ref="A30:D35" firstHeaderRow="1" firstDataRow="2" firstDataCol="1"/>
  <pivotFields count="14">
    <pivotField showAll="0"/>
    <pivotField showAll="0">
      <items count="3">
        <item x="0"/>
        <item h="1" x="1"/>
        <item t="default"/>
      </items>
    </pivotField>
    <pivotField showAll="0"/>
    <pivotField numFmtId="164"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h="1" x="0"/>
        <item h="1" x="2"/>
        <item x="1"/>
        <item t="default"/>
      </items>
    </pivotField>
    <pivotField showAll="0"/>
    <pivotField showAll="0">
      <items count="4">
        <item h="1" x="2"/>
        <item x="0"/>
        <item h="1" x="1"/>
        <item t="default"/>
      </items>
    </pivotField>
    <pivotField axis="axisCol" dataField="1" showAll="0">
      <items count="3">
        <item x="0"/>
        <item x="1"/>
        <item t="default"/>
      </items>
    </pivotField>
  </pivotFields>
  <rowFields count="1">
    <field x="9"/>
  </rowFields>
  <rowItems count="4">
    <i>
      <x/>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6E358A6-95D7-B34F-BDB7-A007B6C12CDF}" sourceName="Marital status ">
  <pivotTables>
    <pivotTable tabId="4" name="PivotTable1"/>
    <pivotTable tabId="4" name="PivotTable2"/>
    <pivotTable tabId="4" name="PivotTable3"/>
  </pivotTables>
  <data>
    <tabular pivotCacheId="134096662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E00D1BD-8144-A74A-8768-A24D4126F6F7}" sourceName="Education">
  <pivotTables>
    <pivotTable tabId="4" name="PivotTable1"/>
    <pivotTable tabId="4" name="PivotTable2"/>
    <pivotTable tabId="4" name="PivotTable3"/>
  </pivotTables>
  <data>
    <tabular pivotCacheId="1340966621">
      <items count="5">
        <i x="0" s="1"/>
        <i x="4" s="1"/>
        <i x="1" s="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0DE62C-5AF5-BD4C-9BE1-1100CE39E18E}" sourceName="Region">
  <pivotTables>
    <pivotTable tabId="4" name="PivotTable1"/>
    <pivotTable tabId="4" name="PivotTable2"/>
    <pivotTable tabId="4" name="PivotTable3"/>
  </pivotTables>
  <data>
    <tabular pivotCacheId="1340966621">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73A6AC44-C7F9-144B-B9D0-2EB89F2D2B20}" sourceName="Age Brackets ">
  <pivotTables>
    <pivotTable tabId="4" name="PivotTable1"/>
    <pivotTable tabId="4" name="PivotTable2"/>
    <pivotTable tabId="4" name="PivotTable3"/>
  </pivotTables>
  <data>
    <tabular pivotCacheId="1340966621">
      <items count="3">
        <i x="2"/>
        <i x="0" s="1"/>
        <i x="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2F91782F-E626-C245-8A14-060F7641A888}" sourceName="Children">
  <pivotTables>
    <pivotTable tabId="4" name="PivotTable1"/>
    <pivotTable tabId="4" name="PivotTable2"/>
    <pivotTable tabId="4" name="PivotTable3"/>
  </pivotTables>
  <data>
    <tabular pivotCacheId="1340966621">
      <items count="6">
        <i x="3"/>
        <i x="0" s="1"/>
        <i x="4"/>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8058C5B-3FED-2D43-AF58-81372D92B27E}" cache="Slicer_Marital_status" caption="Marital status " rowHeight="230716"/>
  <slicer name="Education" xr10:uid="{52D0E03F-6CA4-B742-BC8A-558CB29C3F18}" cache="Slicer_Education" caption="Education" rowHeight="230716"/>
  <slicer name="Region" xr10:uid="{D9205ADE-7AC9-CE41-A57D-B468C3E86AE5}" cache="Slicer_Region" caption="Region" rowHeight="230716"/>
  <slicer name="Age Brackets " xr10:uid="{D2EE765D-14A0-AD47-BD46-B97703ED9BC3}" cache="Slicer_Age_Brackets" caption="Age Brackets " rowHeight="230716"/>
  <slicer name="Children" xr10:uid="{ACC61012-55BA-3E44-9E29-7C3AD1BC01BB}" cache="Slicer_Children" caption="Childre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5252-BD2B-7849-873D-993869544FAA}">
  <dimension ref="A1:N1001"/>
  <sheetViews>
    <sheetView workbookViewId="0">
      <selection activeCell="M2" sqref="M2"/>
    </sheetView>
  </sheetViews>
  <sheetFormatPr baseColWidth="10" defaultColWidth="11.83203125" defaultRowHeight="15" x14ac:dyDescent="0.2"/>
  <cols>
    <col min="1" max="1" width="19.5" customWidth="1"/>
    <col min="2" max="2" width="24.83203125" customWidth="1"/>
    <col min="3" max="3" width="23.83203125" customWidth="1"/>
    <col min="4" max="4" width="11.83203125" style="1"/>
    <col min="6" max="6" width="20" customWidth="1"/>
    <col min="7" max="7" width="19.5" customWidth="1"/>
    <col min="10" max="10" width="19.33203125" customWidth="1"/>
    <col min="14" max="14" width="15.5" customWidth="1"/>
  </cols>
  <sheetData>
    <row r="1" spans="1:14" x14ac:dyDescent="0.2">
      <c r="A1" t="s">
        <v>0</v>
      </c>
      <c r="B1" t="s">
        <v>41</v>
      </c>
      <c r="C1" t="s">
        <v>2</v>
      </c>
      <c r="D1" s="1" t="s">
        <v>3</v>
      </c>
      <c r="E1" t="s">
        <v>4</v>
      </c>
      <c r="F1" t="s">
        <v>5</v>
      </c>
      <c r="G1" t="s">
        <v>6</v>
      </c>
      <c r="H1" t="s">
        <v>7</v>
      </c>
      <c r="I1" t="s">
        <v>8</v>
      </c>
      <c r="J1" t="s">
        <v>9</v>
      </c>
      <c r="K1" t="s">
        <v>10</v>
      </c>
      <c r="L1" t="s">
        <v>11</v>
      </c>
      <c r="M1" t="s">
        <v>40</v>
      </c>
      <c r="N1" t="s">
        <v>12</v>
      </c>
    </row>
    <row r="2" spans="1:14" x14ac:dyDescent="0.2">
      <c r="A2">
        <v>12496</v>
      </c>
      <c r="B2" t="s">
        <v>36</v>
      </c>
      <c r="C2" t="s">
        <v>37</v>
      </c>
      <c r="D2" s="1">
        <v>40000</v>
      </c>
      <c r="E2">
        <v>1</v>
      </c>
      <c r="F2" t="s">
        <v>13</v>
      </c>
      <c r="G2" t="s">
        <v>14</v>
      </c>
      <c r="H2" t="s">
        <v>15</v>
      </c>
      <c r="I2">
        <v>0</v>
      </c>
      <c r="J2" t="s">
        <v>16</v>
      </c>
      <c r="K2" t="s">
        <v>17</v>
      </c>
      <c r="L2">
        <v>42</v>
      </c>
      <c r="M2" t="str">
        <f>IF(L2&gt;54, "Old",IF(L2&gt;=31, "Middle Age",IF(L2&lt;31, "Adolescent","Invalid")))</f>
        <v>Middle Age</v>
      </c>
      <c r="N2" t="s">
        <v>18</v>
      </c>
    </row>
    <row r="3" spans="1:14" x14ac:dyDescent="0.2">
      <c r="A3">
        <v>24107</v>
      </c>
      <c r="B3" t="s">
        <v>36</v>
      </c>
      <c r="C3" t="s">
        <v>38</v>
      </c>
      <c r="D3" s="1">
        <v>30000</v>
      </c>
      <c r="E3">
        <v>3</v>
      </c>
      <c r="F3" t="s">
        <v>19</v>
      </c>
      <c r="G3" t="s">
        <v>20</v>
      </c>
      <c r="H3" t="s">
        <v>15</v>
      </c>
      <c r="I3">
        <v>1</v>
      </c>
      <c r="J3" t="s">
        <v>16</v>
      </c>
      <c r="K3" t="s">
        <v>17</v>
      </c>
      <c r="L3">
        <v>43</v>
      </c>
      <c r="M3" t="str">
        <f t="shared" ref="M3:M66" si="0">IF(L3&gt;54, "Old",IF(L3&gt;=31, "Middle Age",IF(L3&lt;31, "Adolescent","Invalid")))</f>
        <v>Middle Age</v>
      </c>
      <c r="N3" t="s">
        <v>18</v>
      </c>
    </row>
    <row r="4" spans="1:14" x14ac:dyDescent="0.2">
      <c r="A4">
        <v>14177</v>
      </c>
      <c r="B4" t="s">
        <v>36</v>
      </c>
      <c r="C4" t="s">
        <v>38</v>
      </c>
      <c r="D4" s="1">
        <v>80000</v>
      </c>
      <c r="E4">
        <v>5</v>
      </c>
      <c r="F4" t="s">
        <v>19</v>
      </c>
      <c r="G4" t="s">
        <v>21</v>
      </c>
      <c r="H4" t="s">
        <v>18</v>
      </c>
      <c r="I4">
        <v>2</v>
      </c>
      <c r="J4" t="s">
        <v>22</v>
      </c>
      <c r="K4" t="s">
        <v>17</v>
      </c>
      <c r="L4">
        <v>60</v>
      </c>
      <c r="M4" t="str">
        <f t="shared" si="0"/>
        <v>Old</v>
      </c>
      <c r="N4" t="s">
        <v>18</v>
      </c>
    </row>
    <row r="5" spans="1:14" x14ac:dyDescent="0.2">
      <c r="A5">
        <v>24381</v>
      </c>
      <c r="B5" t="s">
        <v>39</v>
      </c>
      <c r="C5" t="s">
        <v>38</v>
      </c>
      <c r="D5" s="1">
        <v>70000</v>
      </c>
      <c r="E5">
        <v>0</v>
      </c>
      <c r="F5" t="s">
        <v>13</v>
      </c>
      <c r="G5" t="s">
        <v>21</v>
      </c>
      <c r="H5" t="s">
        <v>15</v>
      </c>
      <c r="I5">
        <v>1</v>
      </c>
      <c r="J5" t="s">
        <v>23</v>
      </c>
      <c r="K5" t="s">
        <v>24</v>
      </c>
      <c r="L5">
        <v>41</v>
      </c>
      <c r="M5" t="str">
        <f t="shared" si="0"/>
        <v>Middle Age</v>
      </c>
      <c r="N5" t="s">
        <v>15</v>
      </c>
    </row>
    <row r="6" spans="1:14" x14ac:dyDescent="0.2">
      <c r="A6">
        <v>25597</v>
      </c>
      <c r="B6" t="s">
        <v>39</v>
      </c>
      <c r="C6" t="s">
        <v>38</v>
      </c>
      <c r="D6" s="1">
        <v>30000</v>
      </c>
      <c r="E6">
        <v>0</v>
      </c>
      <c r="F6" t="s">
        <v>13</v>
      </c>
      <c r="G6" t="s">
        <v>20</v>
      </c>
      <c r="H6" t="s">
        <v>18</v>
      </c>
      <c r="I6">
        <v>0</v>
      </c>
      <c r="J6" t="s">
        <v>16</v>
      </c>
      <c r="K6" t="s">
        <v>17</v>
      </c>
      <c r="L6">
        <v>36</v>
      </c>
      <c r="M6" t="str">
        <f t="shared" si="0"/>
        <v>Middle Age</v>
      </c>
      <c r="N6" t="s">
        <v>15</v>
      </c>
    </row>
    <row r="7" spans="1:14" x14ac:dyDescent="0.2">
      <c r="A7">
        <v>13507</v>
      </c>
      <c r="B7" t="s">
        <v>36</v>
      </c>
      <c r="C7" t="s">
        <v>37</v>
      </c>
      <c r="D7" s="1">
        <v>10000</v>
      </c>
      <c r="E7">
        <v>2</v>
      </c>
      <c r="F7" t="s">
        <v>19</v>
      </c>
      <c r="G7" t="s">
        <v>25</v>
      </c>
      <c r="H7" t="s">
        <v>15</v>
      </c>
      <c r="I7">
        <v>0</v>
      </c>
      <c r="J7" t="s">
        <v>26</v>
      </c>
      <c r="K7" t="s">
        <v>17</v>
      </c>
      <c r="L7">
        <v>50</v>
      </c>
      <c r="M7" t="str">
        <f t="shared" si="0"/>
        <v>Middle Age</v>
      </c>
      <c r="N7" t="s">
        <v>18</v>
      </c>
    </row>
    <row r="8" spans="1:14" x14ac:dyDescent="0.2">
      <c r="A8">
        <v>27974</v>
      </c>
      <c r="B8" t="s">
        <v>39</v>
      </c>
      <c r="C8" t="s">
        <v>38</v>
      </c>
      <c r="D8" s="1">
        <v>160000</v>
      </c>
      <c r="E8">
        <v>2</v>
      </c>
      <c r="F8" t="s">
        <v>27</v>
      </c>
      <c r="G8" t="s">
        <v>28</v>
      </c>
      <c r="H8" t="s">
        <v>15</v>
      </c>
      <c r="I8">
        <v>4</v>
      </c>
      <c r="J8" t="s">
        <v>16</v>
      </c>
      <c r="K8" t="s">
        <v>24</v>
      </c>
      <c r="L8">
        <v>33</v>
      </c>
      <c r="M8" t="str">
        <f t="shared" si="0"/>
        <v>Middle Age</v>
      </c>
      <c r="N8" t="s">
        <v>15</v>
      </c>
    </row>
    <row r="9" spans="1:14" x14ac:dyDescent="0.2">
      <c r="A9">
        <v>19364</v>
      </c>
      <c r="B9" t="s">
        <v>36</v>
      </c>
      <c r="C9" t="s">
        <v>38</v>
      </c>
      <c r="D9" s="1">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37</v>
      </c>
      <c r="D12" s="1">
        <v>30000</v>
      </c>
      <c r="E12">
        <v>3</v>
      </c>
      <c r="F12" t="s">
        <v>27</v>
      </c>
      <c r="G12" t="s">
        <v>14</v>
      </c>
      <c r="H12" t="s">
        <v>18</v>
      </c>
      <c r="I12">
        <v>2</v>
      </c>
      <c r="J12" t="s">
        <v>26</v>
      </c>
      <c r="K12" t="s">
        <v>24</v>
      </c>
      <c r="L12">
        <v>54</v>
      </c>
      <c r="M12" t="str">
        <f t="shared" si="0"/>
        <v>Middle Age</v>
      </c>
      <c r="N12" t="s">
        <v>15</v>
      </c>
    </row>
    <row r="13" spans="1:14" x14ac:dyDescent="0.2">
      <c r="A13">
        <v>12697</v>
      </c>
      <c r="B13" t="s">
        <v>39</v>
      </c>
      <c r="C13" t="s">
        <v>37</v>
      </c>
      <c r="D13" s="1">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
      <c r="A16">
        <v>23542</v>
      </c>
      <c r="B16" t="s">
        <v>39</v>
      </c>
      <c r="C16" t="s">
        <v>38</v>
      </c>
      <c r="D16" s="1">
        <v>60000</v>
      </c>
      <c r="E16">
        <v>1</v>
      </c>
      <c r="F16" t="s">
        <v>19</v>
      </c>
      <c r="G16" t="s">
        <v>14</v>
      </c>
      <c r="H16" t="s">
        <v>18</v>
      </c>
      <c r="I16">
        <v>1</v>
      </c>
      <c r="J16" t="s">
        <v>16</v>
      </c>
      <c r="K16" t="s">
        <v>24</v>
      </c>
      <c r="L16">
        <v>45</v>
      </c>
      <c r="M16" t="str">
        <f t="shared" si="0"/>
        <v>Middle Age</v>
      </c>
      <c r="N16" t="s">
        <v>15</v>
      </c>
    </row>
    <row r="17" spans="1:14" x14ac:dyDescent="0.2">
      <c r="A17">
        <v>20870</v>
      </c>
      <c r="B17" t="s">
        <v>39</v>
      </c>
      <c r="C17" t="s">
        <v>37</v>
      </c>
      <c r="D17" s="1">
        <v>10000</v>
      </c>
      <c r="E17">
        <v>2</v>
      </c>
      <c r="F17" t="s">
        <v>27</v>
      </c>
      <c r="G17" t="s">
        <v>25</v>
      </c>
      <c r="H17" t="s">
        <v>15</v>
      </c>
      <c r="I17">
        <v>1</v>
      </c>
      <c r="J17" t="s">
        <v>16</v>
      </c>
      <c r="K17" t="s">
        <v>17</v>
      </c>
      <c r="L17">
        <v>38</v>
      </c>
      <c r="M17" t="str">
        <f t="shared" si="0"/>
        <v>Middle Age</v>
      </c>
      <c r="N17" t="s">
        <v>15</v>
      </c>
    </row>
    <row r="18" spans="1:14" x14ac:dyDescent="0.2">
      <c r="A18">
        <v>23316</v>
      </c>
      <c r="B18" t="s">
        <v>39</v>
      </c>
      <c r="C18" t="s">
        <v>38</v>
      </c>
      <c r="D18" s="1">
        <v>30000</v>
      </c>
      <c r="E18">
        <v>3</v>
      </c>
      <c r="F18" t="s">
        <v>19</v>
      </c>
      <c r="G18" t="s">
        <v>20</v>
      </c>
      <c r="H18" t="s">
        <v>18</v>
      </c>
      <c r="I18">
        <v>2</v>
      </c>
      <c r="J18" t="s">
        <v>26</v>
      </c>
      <c r="K18" t="s">
        <v>24</v>
      </c>
      <c r="L18">
        <v>59</v>
      </c>
      <c r="M18" t="str">
        <f t="shared" si="0"/>
        <v>Old</v>
      </c>
      <c r="N18" t="s">
        <v>15</v>
      </c>
    </row>
    <row r="19" spans="1:14" x14ac:dyDescent="0.2">
      <c r="A19">
        <v>12610</v>
      </c>
      <c r="B19" t="s">
        <v>36</v>
      </c>
      <c r="C19" t="s">
        <v>37</v>
      </c>
      <c r="D19" s="1">
        <v>30000</v>
      </c>
      <c r="E19">
        <v>1</v>
      </c>
      <c r="F19" t="s">
        <v>13</v>
      </c>
      <c r="G19" t="s">
        <v>20</v>
      </c>
      <c r="H19" t="s">
        <v>15</v>
      </c>
      <c r="I19">
        <v>0</v>
      </c>
      <c r="J19" t="s">
        <v>16</v>
      </c>
      <c r="K19" t="s">
        <v>17</v>
      </c>
      <c r="L19">
        <v>47</v>
      </c>
      <c r="M19" t="str">
        <f t="shared" si="0"/>
        <v>Middle Age</v>
      </c>
      <c r="N19" t="s">
        <v>18</v>
      </c>
    </row>
    <row r="20" spans="1:14" x14ac:dyDescent="0.2">
      <c r="A20">
        <v>27183</v>
      </c>
      <c r="B20" t="s">
        <v>39</v>
      </c>
      <c r="C20" t="s">
        <v>38</v>
      </c>
      <c r="D20" s="1">
        <v>40000</v>
      </c>
      <c r="E20">
        <v>2</v>
      </c>
      <c r="F20" t="s">
        <v>19</v>
      </c>
      <c r="G20" t="s">
        <v>20</v>
      </c>
      <c r="H20" t="s">
        <v>15</v>
      </c>
      <c r="I20">
        <v>1</v>
      </c>
      <c r="J20" t="s">
        <v>26</v>
      </c>
      <c r="K20" t="s">
        <v>17</v>
      </c>
      <c r="L20">
        <v>35</v>
      </c>
      <c r="M20" t="str">
        <f t="shared" si="0"/>
        <v>Middle Age</v>
      </c>
      <c r="N20" t="s">
        <v>15</v>
      </c>
    </row>
    <row r="21" spans="1:14" x14ac:dyDescent="0.2">
      <c r="A21">
        <v>25940</v>
      </c>
      <c r="B21" t="s">
        <v>39</v>
      </c>
      <c r="C21" t="s">
        <v>38</v>
      </c>
      <c r="D21" s="1">
        <v>20000</v>
      </c>
      <c r="E21">
        <v>2</v>
      </c>
      <c r="F21" t="s">
        <v>29</v>
      </c>
      <c r="G21" t="s">
        <v>20</v>
      </c>
      <c r="H21" t="s">
        <v>15</v>
      </c>
      <c r="I21">
        <v>2</v>
      </c>
      <c r="J21" t="s">
        <v>23</v>
      </c>
      <c r="K21" t="s">
        <v>24</v>
      </c>
      <c r="L21">
        <v>55</v>
      </c>
      <c r="M21" t="str">
        <f t="shared" si="0"/>
        <v>Old</v>
      </c>
      <c r="N21" t="s">
        <v>15</v>
      </c>
    </row>
    <row r="22" spans="1:14" x14ac:dyDescent="0.2">
      <c r="A22">
        <v>25598</v>
      </c>
      <c r="B22" t="s">
        <v>36</v>
      </c>
      <c r="C22" t="s">
        <v>37</v>
      </c>
      <c r="D22" s="1">
        <v>40000</v>
      </c>
      <c r="E22">
        <v>0</v>
      </c>
      <c r="F22" t="s">
        <v>31</v>
      </c>
      <c r="G22" t="s">
        <v>20</v>
      </c>
      <c r="H22" t="s">
        <v>15</v>
      </c>
      <c r="I22">
        <v>0</v>
      </c>
      <c r="J22" t="s">
        <v>16</v>
      </c>
      <c r="K22" t="s">
        <v>17</v>
      </c>
      <c r="L22">
        <v>36</v>
      </c>
      <c r="M22" t="str">
        <f t="shared" si="0"/>
        <v>Middle Age</v>
      </c>
      <c r="N22" t="s">
        <v>15</v>
      </c>
    </row>
    <row r="23" spans="1:14" x14ac:dyDescent="0.2">
      <c r="A23">
        <v>21564</v>
      </c>
      <c r="B23" t="s">
        <v>39</v>
      </c>
      <c r="C23" t="s">
        <v>37</v>
      </c>
      <c r="D23" s="1">
        <v>80000</v>
      </c>
      <c r="E23">
        <v>0</v>
      </c>
      <c r="F23" t="s">
        <v>13</v>
      </c>
      <c r="G23" t="s">
        <v>21</v>
      </c>
      <c r="H23" t="s">
        <v>15</v>
      </c>
      <c r="I23">
        <v>4</v>
      </c>
      <c r="J23" t="s">
        <v>46</v>
      </c>
      <c r="K23" t="s">
        <v>24</v>
      </c>
      <c r="L23">
        <v>35</v>
      </c>
      <c r="M23" t="str">
        <f t="shared" si="0"/>
        <v>Middle Age</v>
      </c>
      <c r="N23" t="s">
        <v>18</v>
      </c>
    </row>
    <row r="24" spans="1:14" x14ac:dyDescent="0.2">
      <c r="A24">
        <v>19193</v>
      </c>
      <c r="B24" t="s">
        <v>39</v>
      </c>
      <c r="C24" t="s">
        <v>38</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37</v>
      </c>
      <c r="D25" s="1">
        <v>80000</v>
      </c>
      <c r="E25">
        <v>5</v>
      </c>
      <c r="F25" t="s">
        <v>27</v>
      </c>
      <c r="G25" t="s">
        <v>28</v>
      </c>
      <c r="H25" t="s">
        <v>18</v>
      </c>
      <c r="I25">
        <v>3</v>
      </c>
      <c r="J25" t="s">
        <v>23</v>
      </c>
      <c r="K25" t="s">
        <v>17</v>
      </c>
      <c r="L25">
        <v>56</v>
      </c>
      <c r="M25" t="str">
        <f t="shared" si="0"/>
        <v>Old</v>
      </c>
      <c r="N25" t="s">
        <v>18</v>
      </c>
    </row>
    <row r="26" spans="1:14" x14ac:dyDescent="0.2">
      <c r="A26">
        <v>27184</v>
      </c>
      <c r="B26" t="s">
        <v>39</v>
      </c>
      <c r="C26" t="s">
        <v>38</v>
      </c>
      <c r="D26" s="1">
        <v>40000</v>
      </c>
      <c r="E26">
        <v>2</v>
      </c>
      <c r="F26" t="s">
        <v>19</v>
      </c>
      <c r="G26" t="s">
        <v>20</v>
      </c>
      <c r="H26" t="s">
        <v>18</v>
      </c>
      <c r="I26">
        <v>1</v>
      </c>
      <c r="J26" t="s">
        <v>16</v>
      </c>
      <c r="K26" t="s">
        <v>17</v>
      </c>
      <c r="L26">
        <v>34</v>
      </c>
      <c r="M26" t="str">
        <f t="shared" si="0"/>
        <v>Middle Age</v>
      </c>
      <c r="N26" t="s">
        <v>18</v>
      </c>
    </row>
    <row r="27" spans="1:14" x14ac:dyDescent="0.2">
      <c r="A27">
        <v>12590</v>
      </c>
      <c r="B27" t="s">
        <v>39</v>
      </c>
      <c r="C27" t="s">
        <v>38</v>
      </c>
      <c r="D27" s="1">
        <v>30000</v>
      </c>
      <c r="E27">
        <v>1</v>
      </c>
      <c r="F27" t="s">
        <v>13</v>
      </c>
      <c r="G27" t="s">
        <v>20</v>
      </c>
      <c r="H27" t="s">
        <v>15</v>
      </c>
      <c r="I27">
        <v>0</v>
      </c>
      <c r="J27" t="s">
        <v>16</v>
      </c>
      <c r="K27" t="s">
        <v>17</v>
      </c>
      <c r="L27">
        <v>63</v>
      </c>
      <c r="M27" t="str">
        <f t="shared" si="0"/>
        <v>Old</v>
      </c>
      <c r="N27" t="s">
        <v>18</v>
      </c>
    </row>
    <row r="28" spans="1:14" x14ac:dyDescent="0.2">
      <c r="A28">
        <v>17841</v>
      </c>
      <c r="B28" t="s">
        <v>39</v>
      </c>
      <c r="C28" t="s">
        <v>38</v>
      </c>
      <c r="D28" s="1">
        <v>30000</v>
      </c>
      <c r="E28">
        <v>0</v>
      </c>
      <c r="F28" t="s">
        <v>19</v>
      </c>
      <c r="G28" t="s">
        <v>20</v>
      </c>
      <c r="H28" t="s">
        <v>18</v>
      </c>
      <c r="I28">
        <v>1</v>
      </c>
      <c r="J28" t="s">
        <v>16</v>
      </c>
      <c r="K28" t="s">
        <v>17</v>
      </c>
      <c r="L28">
        <v>29</v>
      </c>
      <c r="M28" t="str">
        <f t="shared" si="0"/>
        <v>Adolescent</v>
      </c>
      <c r="N28" t="s">
        <v>15</v>
      </c>
    </row>
    <row r="29" spans="1:14" x14ac:dyDescent="0.2">
      <c r="A29">
        <v>18283</v>
      </c>
      <c r="B29" t="s">
        <v>39</v>
      </c>
      <c r="C29" t="s">
        <v>37</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
      <c r="A31">
        <v>16466</v>
      </c>
      <c r="B31" t="s">
        <v>39</v>
      </c>
      <c r="C31" t="s">
        <v>37</v>
      </c>
      <c r="D31" s="1">
        <v>20000</v>
      </c>
      <c r="E31">
        <v>0</v>
      </c>
      <c r="F31" t="s">
        <v>29</v>
      </c>
      <c r="G31" t="s">
        <v>25</v>
      </c>
      <c r="H31" t="s">
        <v>18</v>
      </c>
      <c r="I31">
        <v>2</v>
      </c>
      <c r="J31" t="s">
        <v>16</v>
      </c>
      <c r="K31" t="s">
        <v>17</v>
      </c>
      <c r="L31">
        <v>32</v>
      </c>
      <c r="M31" t="str">
        <f t="shared" si="0"/>
        <v>Middle Age</v>
      </c>
      <c r="N31" t="s">
        <v>15</v>
      </c>
    </row>
    <row r="32" spans="1:14" x14ac:dyDescent="0.2">
      <c r="A32">
        <v>19273</v>
      </c>
      <c r="B32" t="s">
        <v>36</v>
      </c>
      <c r="C32" t="s">
        <v>37</v>
      </c>
      <c r="D32" s="1">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
      <c r="A34">
        <v>20942</v>
      </c>
      <c r="B34" t="s">
        <v>39</v>
      </c>
      <c r="C34" t="s">
        <v>37</v>
      </c>
      <c r="D34" s="1">
        <v>20000</v>
      </c>
      <c r="E34">
        <v>0</v>
      </c>
      <c r="F34" t="s">
        <v>27</v>
      </c>
      <c r="G34" t="s">
        <v>25</v>
      </c>
      <c r="H34" t="s">
        <v>18</v>
      </c>
      <c r="I34">
        <v>1</v>
      </c>
      <c r="J34" t="s">
        <v>23</v>
      </c>
      <c r="K34" t="s">
        <v>17</v>
      </c>
      <c r="L34">
        <v>31</v>
      </c>
      <c r="M34" t="str">
        <f t="shared" si="0"/>
        <v>Middle Age</v>
      </c>
      <c r="N34" t="s">
        <v>18</v>
      </c>
    </row>
    <row r="35" spans="1:14" x14ac:dyDescent="0.2">
      <c r="A35">
        <v>18484</v>
      </c>
      <c r="B35" t="s">
        <v>39</v>
      </c>
      <c r="C35" t="s">
        <v>38</v>
      </c>
      <c r="D35" s="1">
        <v>80000</v>
      </c>
      <c r="E35">
        <v>2</v>
      </c>
      <c r="F35" t="s">
        <v>27</v>
      </c>
      <c r="G35" t="s">
        <v>14</v>
      </c>
      <c r="H35" t="s">
        <v>18</v>
      </c>
      <c r="I35">
        <v>2</v>
      </c>
      <c r="J35" t="s">
        <v>26</v>
      </c>
      <c r="K35" t="s">
        <v>24</v>
      </c>
      <c r="L35">
        <v>50</v>
      </c>
      <c r="M35" t="str">
        <f t="shared" si="0"/>
        <v>Middle Age</v>
      </c>
      <c r="N35" t="s">
        <v>15</v>
      </c>
    </row>
    <row r="36" spans="1:14" x14ac:dyDescent="0.2">
      <c r="A36">
        <v>12291</v>
      </c>
      <c r="B36" t="s">
        <v>39</v>
      </c>
      <c r="C36" t="s">
        <v>38</v>
      </c>
      <c r="D36" s="1">
        <v>90000</v>
      </c>
      <c r="E36">
        <v>5</v>
      </c>
      <c r="F36" t="s">
        <v>19</v>
      </c>
      <c r="G36" t="s">
        <v>21</v>
      </c>
      <c r="H36" t="s">
        <v>18</v>
      </c>
      <c r="I36">
        <v>2</v>
      </c>
      <c r="J36" t="s">
        <v>22</v>
      </c>
      <c r="K36" t="s">
        <v>17</v>
      </c>
      <c r="L36">
        <v>62</v>
      </c>
      <c r="M36" t="str">
        <f t="shared" si="0"/>
        <v>Old</v>
      </c>
      <c r="N36" t="s">
        <v>15</v>
      </c>
    </row>
    <row r="37" spans="1:14" x14ac:dyDescent="0.2">
      <c r="A37">
        <v>28380</v>
      </c>
      <c r="B37" t="s">
        <v>39</v>
      </c>
      <c r="C37" t="s">
        <v>37</v>
      </c>
      <c r="D37" s="1">
        <v>10000</v>
      </c>
      <c r="E37">
        <v>5</v>
      </c>
      <c r="F37" t="s">
        <v>29</v>
      </c>
      <c r="G37" t="s">
        <v>25</v>
      </c>
      <c r="H37" t="s">
        <v>18</v>
      </c>
      <c r="I37">
        <v>2</v>
      </c>
      <c r="J37" t="s">
        <v>16</v>
      </c>
      <c r="K37" t="s">
        <v>17</v>
      </c>
      <c r="L37">
        <v>41</v>
      </c>
      <c r="M37" t="str">
        <f t="shared" si="0"/>
        <v>Middle Age</v>
      </c>
      <c r="N37" t="s">
        <v>18</v>
      </c>
    </row>
    <row r="38" spans="1:14" x14ac:dyDescent="0.2">
      <c r="A38">
        <v>17891</v>
      </c>
      <c r="B38" t="s">
        <v>36</v>
      </c>
      <c r="C38" t="s">
        <v>37</v>
      </c>
      <c r="D38" s="1">
        <v>10000</v>
      </c>
      <c r="E38">
        <v>2</v>
      </c>
      <c r="F38" t="s">
        <v>19</v>
      </c>
      <c r="G38" t="s">
        <v>25</v>
      </c>
      <c r="H38" t="s">
        <v>15</v>
      </c>
      <c r="I38">
        <v>1</v>
      </c>
      <c r="J38" t="s">
        <v>16</v>
      </c>
      <c r="K38" t="s">
        <v>17</v>
      </c>
      <c r="L38">
        <v>50</v>
      </c>
      <c r="M38" t="str">
        <f t="shared" si="0"/>
        <v>Middle Age</v>
      </c>
      <c r="N38" t="s">
        <v>15</v>
      </c>
    </row>
    <row r="39" spans="1:14" x14ac:dyDescent="0.2">
      <c r="A39">
        <v>27832</v>
      </c>
      <c r="B39" t="s">
        <v>39</v>
      </c>
      <c r="C39" t="s">
        <v>37</v>
      </c>
      <c r="D39" s="1">
        <v>30000</v>
      </c>
      <c r="E39">
        <v>0</v>
      </c>
      <c r="F39" t="s">
        <v>19</v>
      </c>
      <c r="G39" t="s">
        <v>20</v>
      </c>
      <c r="H39" t="s">
        <v>18</v>
      </c>
      <c r="I39">
        <v>1</v>
      </c>
      <c r="J39" t="s">
        <v>22</v>
      </c>
      <c r="K39" t="s">
        <v>17</v>
      </c>
      <c r="L39">
        <v>30</v>
      </c>
      <c r="M39" t="str">
        <f t="shared" si="0"/>
        <v>Adolescent</v>
      </c>
      <c r="N39" t="s">
        <v>18</v>
      </c>
    </row>
    <row r="40" spans="1:14" x14ac:dyDescent="0.2">
      <c r="A40">
        <v>26863</v>
      </c>
      <c r="B40" t="s">
        <v>39</v>
      </c>
      <c r="C40" t="s">
        <v>38</v>
      </c>
      <c r="D40" s="1">
        <v>20000</v>
      </c>
      <c r="E40">
        <v>0</v>
      </c>
      <c r="F40" t="s">
        <v>27</v>
      </c>
      <c r="G40" t="s">
        <v>25</v>
      </c>
      <c r="H40" t="s">
        <v>18</v>
      </c>
      <c r="I40">
        <v>1</v>
      </c>
      <c r="J40" t="s">
        <v>22</v>
      </c>
      <c r="K40" t="s">
        <v>17</v>
      </c>
      <c r="L40">
        <v>28</v>
      </c>
      <c r="M40" t="str">
        <f t="shared" si="0"/>
        <v>Adolescent</v>
      </c>
      <c r="N40" t="s">
        <v>18</v>
      </c>
    </row>
    <row r="41" spans="1:14" x14ac:dyDescent="0.2">
      <c r="A41">
        <v>16259</v>
      </c>
      <c r="B41" t="s">
        <v>39</v>
      </c>
      <c r="C41" t="s">
        <v>37</v>
      </c>
      <c r="D41" s="1">
        <v>10000</v>
      </c>
      <c r="E41">
        <v>4</v>
      </c>
      <c r="F41" t="s">
        <v>29</v>
      </c>
      <c r="G41" t="s">
        <v>25</v>
      </c>
      <c r="H41" t="s">
        <v>15</v>
      </c>
      <c r="I41">
        <v>2</v>
      </c>
      <c r="J41" t="s">
        <v>16</v>
      </c>
      <c r="K41" t="s">
        <v>17</v>
      </c>
      <c r="L41">
        <v>40</v>
      </c>
      <c r="M41" t="str">
        <f t="shared" si="0"/>
        <v>Middle Age</v>
      </c>
      <c r="N41" t="s">
        <v>15</v>
      </c>
    </row>
    <row r="42" spans="1:14" x14ac:dyDescent="0.2">
      <c r="A42">
        <v>27803</v>
      </c>
      <c r="B42" t="s">
        <v>39</v>
      </c>
      <c r="C42" t="s">
        <v>37</v>
      </c>
      <c r="D42" s="1">
        <v>30000</v>
      </c>
      <c r="E42">
        <v>2</v>
      </c>
      <c r="F42" t="s">
        <v>19</v>
      </c>
      <c r="G42" t="s">
        <v>20</v>
      </c>
      <c r="H42" t="s">
        <v>18</v>
      </c>
      <c r="I42">
        <v>0</v>
      </c>
      <c r="J42" t="s">
        <v>16</v>
      </c>
      <c r="K42" t="s">
        <v>17</v>
      </c>
      <c r="L42">
        <v>43</v>
      </c>
      <c r="M42" t="str">
        <f t="shared" si="0"/>
        <v>Middle Age</v>
      </c>
      <c r="N42" t="s">
        <v>18</v>
      </c>
    </row>
    <row r="43" spans="1:14" x14ac:dyDescent="0.2">
      <c r="A43">
        <v>14347</v>
      </c>
      <c r="B43" t="s">
        <v>39</v>
      </c>
      <c r="C43" t="s">
        <v>37</v>
      </c>
      <c r="D43" s="1">
        <v>40000</v>
      </c>
      <c r="E43">
        <v>2</v>
      </c>
      <c r="F43" t="s">
        <v>13</v>
      </c>
      <c r="G43" t="s">
        <v>28</v>
      </c>
      <c r="H43" t="s">
        <v>15</v>
      </c>
      <c r="I43">
        <v>2</v>
      </c>
      <c r="J43" t="s">
        <v>23</v>
      </c>
      <c r="K43" t="s">
        <v>24</v>
      </c>
      <c r="L43">
        <v>65</v>
      </c>
      <c r="M43" t="str">
        <f t="shared" si="0"/>
        <v>Old</v>
      </c>
      <c r="N43" t="s">
        <v>15</v>
      </c>
    </row>
    <row r="44" spans="1:14" x14ac:dyDescent="0.2">
      <c r="A44">
        <v>17703</v>
      </c>
      <c r="B44" t="s">
        <v>36</v>
      </c>
      <c r="C44" t="s">
        <v>37</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37</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37</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37</v>
      </c>
      <c r="D47" s="1">
        <v>20000</v>
      </c>
      <c r="E47">
        <v>1</v>
      </c>
      <c r="F47" t="s">
        <v>13</v>
      </c>
      <c r="G47" t="s">
        <v>20</v>
      </c>
      <c r="H47" t="s">
        <v>15</v>
      </c>
      <c r="I47">
        <v>0</v>
      </c>
      <c r="J47" t="s">
        <v>16</v>
      </c>
      <c r="K47" t="s">
        <v>17</v>
      </c>
      <c r="L47">
        <v>66</v>
      </c>
      <c r="M47" t="str">
        <f t="shared" si="0"/>
        <v>Old</v>
      </c>
      <c r="N47" t="s">
        <v>15</v>
      </c>
    </row>
    <row r="48" spans="1:14" x14ac:dyDescent="0.2">
      <c r="A48">
        <v>24466</v>
      </c>
      <c r="B48" t="s">
        <v>36</v>
      </c>
      <c r="C48" t="s">
        <v>37</v>
      </c>
      <c r="D48" s="1">
        <v>60000</v>
      </c>
      <c r="E48">
        <v>1</v>
      </c>
      <c r="F48" t="s">
        <v>19</v>
      </c>
      <c r="G48" t="s">
        <v>14</v>
      </c>
      <c r="H48" t="s">
        <v>15</v>
      </c>
      <c r="I48">
        <v>1</v>
      </c>
      <c r="J48" t="s">
        <v>23</v>
      </c>
      <c r="K48" t="s">
        <v>24</v>
      </c>
      <c r="L48">
        <v>46</v>
      </c>
      <c r="M48" t="str">
        <f t="shared" si="0"/>
        <v>Middle Age</v>
      </c>
      <c r="N48" t="s">
        <v>15</v>
      </c>
    </row>
    <row r="49" spans="1:14" x14ac:dyDescent="0.2">
      <c r="A49">
        <v>29097</v>
      </c>
      <c r="B49" t="s">
        <v>39</v>
      </c>
      <c r="C49" t="s">
        <v>37</v>
      </c>
      <c r="D49" s="1">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
      <c r="A51">
        <v>14939</v>
      </c>
      <c r="B51" t="s">
        <v>39</v>
      </c>
      <c r="C51" t="s">
        <v>38</v>
      </c>
      <c r="D51" s="1">
        <v>40000</v>
      </c>
      <c r="E51">
        <v>0</v>
      </c>
      <c r="F51" t="s">
        <v>13</v>
      </c>
      <c r="G51" t="s">
        <v>20</v>
      </c>
      <c r="H51" t="s">
        <v>15</v>
      </c>
      <c r="I51">
        <v>0</v>
      </c>
      <c r="J51" t="s">
        <v>16</v>
      </c>
      <c r="K51" t="s">
        <v>17</v>
      </c>
      <c r="L51">
        <v>39</v>
      </c>
      <c r="M51" t="str">
        <f t="shared" si="0"/>
        <v>Middle Age</v>
      </c>
      <c r="N51" t="s">
        <v>15</v>
      </c>
    </row>
    <row r="52" spans="1:14" x14ac:dyDescent="0.2">
      <c r="A52">
        <v>13826</v>
      </c>
      <c r="B52" t="s">
        <v>39</v>
      </c>
      <c r="C52" t="s">
        <v>37</v>
      </c>
      <c r="D52" s="1">
        <v>30000</v>
      </c>
      <c r="E52">
        <v>0</v>
      </c>
      <c r="F52" t="s">
        <v>19</v>
      </c>
      <c r="G52" t="s">
        <v>20</v>
      </c>
      <c r="H52" t="s">
        <v>18</v>
      </c>
      <c r="I52">
        <v>1</v>
      </c>
      <c r="J52" t="s">
        <v>16</v>
      </c>
      <c r="K52" t="s">
        <v>17</v>
      </c>
      <c r="L52">
        <v>28</v>
      </c>
      <c r="M52" t="str">
        <f t="shared" si="0"/>
        <v>Adolescent</v>
      </c>
      <c r="N52" t="s">
        <v>18</v>
      </c>
    </row>
    <row r="53" spans="1:14" x14ac:dyDescent="0.2">
      <c r="A53">
        <v>20619</v>
      </c>
      <c r="B53" t="s">
        <v>39</v>
      </c>
      <c r="C53" t="s">
        <v>38</v>
      </c>
      <c r="D53" s="1">
        <v>80000</v>
      </c>
      <c r="E53">
        <v>0</v>
      </c>
      <c r="F53" t="s">
        <v>13</v>
      </c>
      <c r="G53" t="s">
        <v>21</v>
      </c>
      <c r="H53" t="s">
        <v>18</v>
      </c>
      <c r="I53">
        <v>4</v>
      </c>
      <c r="J53" t="s">
        <v>46</v>
      </c>
      <c r="K53" t="s">
        <v>24</v>
      </c>
      <c r="L53">
        <v>35</v>
      </c>
      <c r="M53" t="str">
        <f t="shared" si="0"/>
        <v>Middle Age</v>
      </c>
      <c r="N53" t="s">
        <v>18</v>
      </c>
    </row>
    <row r="54" spans="1:14" x14ac:dyDescent="0.2">
      <c r="A54">
        <v>12558</v>
      </c>
      <c r="B54" t="s">
        <v>36</v>
      </c>
      <c r="C54" t="s">
        <v>37</v>
      </c>
      <c r="D54" s="1">
        <v>20000</v>
      </c>
      <c r="E54">
        <v>1</v>
      </c>
      <c r="F54" t="s">
        <v>13</v>
      </c>
      <c r="G54" t="s">
        <v>20</v>
      </c>
      <c r="H54" t="s">
        <v>15</v>
      </c>
      <c r="I54">
        <v>0</v>
      </c>
      <c r="J54" t="s">
        <v>16</v>
      </c>
      <c r="K54" t="s">
        <v>17</v>
      </c>
      <c r="L54">
        <v>65</v>
      </c>
      <c r="M54" t="str">
        <f t="shared" si="0"/>
        <v>Old</v>
      </c>
      <c r="N54" t="s">
        <v>18</v>
      </c>
    </row>
    <row r="55" spans="1:14" x14ac:dyDescent="0.2">
      <c r="A55">
        <v>24871</v>
      </c>
      <c r="B55" t="s">
        <v>39</v>
      </c>
      <c r="C55" t="s">
        <v>37</v>
      </c>
      <c r="D55" s="1">
        <v>90000</v>
      </c>
      <c r="E55">
        <v>4</v>
      </c>
      <c r="F55" t="s">
        <v>27</v>
      </c>
      <c r="G55" t="s">
        <v>28</v>
      </c>
      <c r="H55" t="s">
        <v>18</v>
      </c>
      <c r="I55">
        <v>3</v>
      </c>
      <c r="J55" t="s">
        <v>23</v>
      </c>
      <c r="K55" t="s">
        <v>17</v>
      </c>
      <c r="L55">
        <v>56</v>
      </c>
      <c r="M55" t="str">
        <f t="shared" si="0"/>
        <v>Old</v>
      </c>
      <c r="N55" t="s">
        <v>18</v>
      </c>
    </row>
    <row r="56" spans="1:14" x14ac:dyDescent="0.2">
      <c r="A56">
        <v>17319</v>
      </c>
      <c r="B56" t="s">
        <v>39</v>
      </c>
      <c r="C56" t="s">
        <v>37</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
      <c r="A60">
        <v>25502</v>
      </c>
      <c r="B60" t="s">
        <v>36</v>
      </c>
      <c r="C60" t="s">
        <v>37</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
      <c r="A62">
        <v>24185</v>
      </c>
      <c r="B62" t="s">
        <v>39</v>
      </c>
      <c r="C62" t="s">
        <v>37</v>
      </c>
      <c r="D62" s="1">
        <v>10000</v>
      </c>
      <c r="E62">
        <v>1</v>
      </c>
      <c r="F62" t="s">
        <v>27</v>
      </c>
      <c r="G62" t="s">
        <v>25</v>
      </c>
      <c r="H62" t="s">
        <v>18</v>
      </c>
      <c r="I62">
        <v>1</v>
      </c>
      <c r="J62" t="s">
        <v>26</v>
      </c>
      <c r="K62" t="s">
        <v>17</v>
      </c>
      <c r="L62">
        <v>45</v>
      </c>
      <c r="M62" t="str">
        <f t="shared" si="0"/>
        <v>Middle Age</v>
      </c>
      <c r="N62" t="s">
        <v>18</v>
      </c>
    </row>
    <row r="63" spans="1:14" x14ac:dyDescent="0.2">
      <c r="A63">
        <v>19291</v>
      </c>
      <c r="B63" t="s">
        <v>39</v>
      </c>
      <c r="C63" t="s">
        <v>37</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
      <c r="A65">
        <v>16185</v>
      </c>
      <c r="B65" t="s">
        <v>39</v>
      </c>
      <c r="C65" t="s">
        <v>38</v>
      </c>
      <c r="D65" s="1">
        <v>60000</v>
      </c>
      <c r="E65">
        <v>4</v>
      </c>
      <c r="F65" t="s">
        <v>13</v>
      </c>
      <c r="G65" t="s">
        <v>21</v>
      </c>
      <c r="H65" t="s">
        <v>15</v>
      </c>
      <c r="I65">
        <v>3</v>
      </c>
      <c r="J65" t="s">
        <v>46</v>
      </c>
      <c r="K65" t="s">
        <v>24</v>
      </c>
      <c r="L65">
        <v>41</v>
      </c>
      <c r="M65" t="str">
        <f t="shared" si="0"/>
        <v>Middle Age</v>
      </c>
      <c r="N65" t="s">
        <v>18</v>
      </c>
    </row>
    <row r="66" spans="1:14" x14ac:dyDescent="0.2">
      <c r="A66">
        <v>14927</v>
      </c>
      <c r="B66" t="s">
        <v>36</v>
      </c>
      <c r="C66" t="s">
        <v>37</v>
      </c>
      <c r="D66" s="1">
        <v>30000</v>
      </c>
      <c r="E66">
        <v>1</v>
      </c>
      <c r="F66" t="s">
        <v>13</v>
      </c>
      <c r="G66" t="s">
        <v>20</v>
      </c>
      <c r="H66" t="s">
        <v>15</v>
      </c>
      <c r="I66">
        <v>0</v>
      </c>
      <c r="J66" t="s">
        <v>16</v>
      </c>
      <c r="K66" t="s">
        <v>17</v>
      </c>
      <c r="L66">
        <v>37</v>
      </c>
      <c r="M66" t="str">
        <f t="shared" si="0"/>
        <v>Middle Age</v>
      </c>
      <c r="N66" t="s">
        <v>15</v>
      </c>
    </row>
    <row r="67" spans="1:14" x14ac:dyDescent="0.2">
      <c r="A67">
        <v>29337</v>
      </c>
      <c r="B67" t="s">
        <v>39</v>
      </c>
      <c r="C67" t="s">
        <v>38</v>
      </c>
      <c r="D67" s="1">
        <v>30000</v>
      </c>
      <c r="E67">
        <v>2</v>
      </c>
      <c r="F67" t="s">
        <v>19</v>
      </c>
      <c r="G67" t="s">
        <v>20</v>
      </c>
      <c r="H67" t="s">
        <v>15</v>
      </c>
      <c r="I67">
        <v>2</v>
      </c>
      <c r="J67" t="s">
        <v>23</v>
      </c>
      <c r="K67" t="s">
        <v>24</v>
      </c>
      <c r="L67">
        <v>68</v>
      </c>
      <c r="M67" t="str">
        <f t="shared" ref="M67:M130" si="1">IF(L67&gt;54, "Old",IF(L67&gt;=31, "Middle Age",IF(L67&lt;31, "Adolescent","Invalid")))</f>
        <v>Old</v>
      </c>
      <c r="N67" t="s">
        <v>18</v>
      </c>
    </row>
    <row r="68" spans="1:14" x14ac:dyDescent="0.2">
      <c r="A68">
        <v>29355</v>
      </c>
      <c r="B68" t="s">
        <v>36</v>
      </c>
      <c r="C68" t="s">
        <v>37</v>
      </c>
      <c r="D68" s="1">
        <v>40000</v>
      </c>
      <c r="E68">
        <v>0</v>
      </c>
      <c r="F68" t="s">
        <v>31</v>
      </c>
      <c r="G68" t="s">
        <v>20</v>
      </c>
      <c r="H68" t="s">
        <v>15</v>
      </c>
      <c r="I68">
        <v>0</v>
      </c>
      <c r="J68" t="s">
        <v>16</v>
      </c>
      <c r="K68" t="s">
        <v>17</v>
      </c>
      <c r="L68">
        <v>37</v>
      </c>
      <c r="M68" t="str">
        <f t="shared" si="1"/>
        <v>Middle Age</v>
      </c>
      <c r="N68" t="s">
        <v>15</v>
      </c>
    </row>
    <row r="69" spans="1:14" x14ac:dyDescent="0.2">
      <c r="A69">
        <v>25303</v>
      </c>
      <c r="B69" t="s">
        <v>39</v>
      </c>
      <c r="C69" t="s">
        <v>38</v>
      </c>
      <c r="D69" s="1">
        <v>30000</v>
      </c>
      <c r="E69">
        <v>0</v>
      </c>
      <c r="F69" t="s">
        <v>27</v>
      </c>
      <c r="G69" t="s">
        <v>25</v>
      </c>
      <c r="H69" t="s">
        <v>15</v>
      </c>
      <c r="I69">
        <v>1</v>
      </c>
      <c r="J69" t="s">
        <v>22</v>
      </c>
      <c r="K69" t="s">
        <v>17</v>
      </c>
      <c r="L69">
        <v>33</v>
      </c>
      <c r="M69" t="str">
        <f t="shared" si="1"/>
        <v>Middle Age</v>
      </c>
      <c r="N69" t="s">
        <v>15</v>
      </c>
    </row>
    <row r="70" spans="1:14" x14ac:dyDescent="0.2">
      <c r="A70">
        <v>14813</v>
      </c>
      <c r="B70" t="s">
        <v>39</v>
      </c>
      <c r="C70" t="s">
        <v>37</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37</v>
      </c>
      <c r="D71" s="1">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
      <c r="A73">
        <v>16200</v>
      </c>
      <c r="B73" t="s">
        <v>39</v>
      </c>
      <c r="C73" t="s">
        <v>37</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37</v>
      </c>
      <c r="D74" s="1">
        <v>130000</v>
      </c>
      <c r="E74">
        <v>3</v>
      </c>
      <c r="F74" t="s">
        <v>27</v>
      </c>
      <c r="G74" t="s">
        <v>21</v>
      </c>
      <c r="H74" t="s">
        <v>15</v>
      </c>
      <c r="I74">
        <v>4</v>
      </c>
      <c r="J74" t="s">
        <v>16</v>
      </c>
      <c r="K74" t="s">
        <v>17</v>
      </c>
      <c r="L74">
        <v>52</v>
      </c>
      <c r="M74" t="str">
        <f t="shared" si="1"/>
        <v>Middle Age</v>
      </c>
      <c r="N74" t="s">
        <v>18</v>
      </c>
    </row>
    <row r="75" spans="1:14" x14ac:dyDescent="0.2">
      <c r="A75">
        <v>26956</v>
      </c>
      <c r="B75" t="s">
        <v>39</v>
      </c>
      <c r="C75" t="s">
        <v>37</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37</v>
      </c>
      <c r="D76" s="1">
        <v>20000</v>
      </c>
      <c r="E76">
        <v>3</v>
      </c>
      <c r="F76" t="s">
        <v>27</v>
      </c>
      <c r="G76" t="s">
        <v>14</v>
      </c>
      <c r="H76" t="s">
        <v>18</v>
      </c>
      <c r="I76">
        <v>2</v>
      </c>
      <c r="J76" t="s">
        <v>26</v>
      </c>
      <c r="K76" t="s">
        <v>24</v>
      </c>
      <c r="L76">
        <v>62</v>
      </c>
      <c r="M76" t="str">
        <f t="shared" si="1"/>
        <v>Old</v>
      </c>
      <c r="N76" t="s">
        <v>18</v>
      </c>
    </row>
    <row r="77" spans="1:14" x14ac:dyDescent="0.2">
      <c r="A77">
        <v>12678</v>
      </c>
      <c r="B77" t="s">
        <v>39</v>
      </c>
      <c r="C77" t="s">
        <v>37</v>
      </c>
      <c r="D77" s="1">
        <v>130000</v>
      </c>
      <c r="E77">
        <v>4</v>
      </c>
      <c r="F77" t="s">
        <v>27</v>
      </c>
      <c r="G77" t="s">
        <v>28</v>
      </c>
      <c r="H77" t="s">
        <v>15</v>
      </c>
      <c r="I77">
        <v>4</v>
      </c>
      <c r="J77" t="s">
        <v>16</v>
      </c>
      <c r="K77" t="s">
        <v>24</v>
      </c>
      <c r="L77">
        <v>31</v>
      </c>
      <c r="M77" t="str">
        <f t="shared" si="1"/>
        <v>Middle Age</v>
      </c>
      <c r="N77" t="s">
        <v>18</v>
      </c>
    </row>
    <row r="78" spans="1:14" x14ac:dyDescent="0.2">
      <c r="A78">
        <v>16188</v>
      </c>
      <c r="B78" t="s">
        <v>39</v>
      </c>
      <c r="C78" t="s">
        <v>37</v>
      </c>
      <c r="D78" s="1">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
      <c r="A81">
        <v>27745</v>
      </c>
      <c r="B81" t="s">
        <v>39</v>
      </c>
      <c r="C81" t="s">
        <v>38</v>
      </c>
      <c r="D81" s="1">
        <v>40000</v>
      </c>
      <c r="E81">
        <v>2</v>
      </c>
      <c r="F81" t="s">
        <v>13</v>
      </c>
      <c r="G81" t="s">
        <v>28</v>
      </c>
      <c r="H81" t="s">
        <v>15</v>
      </c>
      <c r="I81">
        <v>2</v>
      </c>
      <c r="J81" t="s">
        <v>23</v>
      </c>
      <c r="K81" t="s">
        <v>24</v>
      </c>
      <c r="L81">
        <v>63</v>
      </c>
      <c r="M81" t="str">
        <f t="shared" si="1"/>
        <v>Old</v>
      </c>
      <c r="N81" t="s">
        <v>15</v>
      </c>
    </row>
    <row r="82" spans="1:14" x14ac:dyDescent="0.2">
      <c r="A82">
        <v>20828</v>
      </c>
      <c r="B82" t="s">
        <v>36</v>
      </c>
      <c r="C82" t="s">
        <v>37</v>
      </c>
      <c r="D82" s="1">
        <v>30000</v>
      </c>
      <c r="E82">
        <v>4</v>
      </c>
      <c r="F82" t="s">
        <v>31</v>
      </c>
      <c r="G82" t="s">
        <v>20</v>
      </c>
      <c r="H82" t="s">
        <v>15</v>
      </c>
      <c r="I82">
        <v>0</v>
      </c>
      <c r="J82" t="s">
        <v>16</v>
      </c>
      <c r="K82" t="s">
        <v>17</v>
      </c>
      <c r="L82">
        <v>45</v>
      </c>
      <c r="M82" t="str">
        <f t="shared" si="1"/>
        <v>Middle Age</v>
      </c>
      <c r="N82" t="s">
        <v>15</v>
      </c>
    </row>
    <row r="83" spans="1:14" x14ac:dyDescent="0.2">
      <c r="A83">
        <v>19461</v>
      </c>
      <c r="B83" t="s">
        <v>39</v>
      </c>
      <c r="C83" t="s">
        <v>37</v>
      </c>
      <c r="D83" s="1">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
      <c r="A85">
        <v>28412</v>
      </c>
      <c r="B85" t="s">
        <v>39</v>
      </c>
      <c r="C85" t="s">
        <v>38</v>
      </c>
      <c r="D85" s="1">
        <v>20000</v>
      </c>
      <c r="E85">
        <v>0</v>
      </c>
      <c r="F85" t="s">
        <v>27</v>
      </c>
      <c r="G85" t="s">
        <v>25</v>
      </c>
      <c r="H85" t="s">
        <v>18</v>
      </c>
      <c r="I85">
        <v>1</v>
      </c>
      <c r="J85" t="s">
        <v>22</v>
      </c>
      <c r="K85" t="s">
        <v>17</v>
      </c>
      <c r="L85">
        <v>29</v>
      </c>
      <c r="M85" t="str">
        <f t="shared" si="1"/>
        <v>Adolescent</v>
      </c>
      <c r="N85" t="s">
        <v>18</v>
      </c>
    </row>
    <row r="86" spans="1:14" x14ac:dyDescent="0.2">
      <c r="A86">
        <v>24485</v>
      </c>
      <c r="B86" t="s">
        <v>39</v>
      </c>
      <c r="C86" t="s">
        <v>38</v>
      </c>
      <c r="D86" s="1">
        <v>40000</v>
      </c>
      <c r="E86">
        <v>2</v>
      </c>
      <c r="F86" t="s">
        <v>13</v>
      </c>
      <c r="G86" t="s">
        <v>28</v>
      </c>
      <c r="H86" t="s">
        <v>18</v>
      </c>
      <c r="I86">
        <v>1</v>
      </c>
      <c r="J86" t="s">
        <v>23</v>
      </c>
      <c r="K86" t="s">
        <v>24</v>
      </c>
      <c r="L86">
        <v>52</v>
      </c>
      <c r="M86" t="str">
        <f t="shared" si="1"/>
        <v>Middle Age</v>
      </c>
      <c r="N86" t="s">
        <v>15</v>
      </c>
    </row>
    <row r="87" spans="1:14" x14ac:dyDescent="0.2">
      <c r="A87">
        <v>16514</v>
      </c>
      <c r="B87" t="s">
        <v>39</v>
      </c>
      <c r="C87" t="s">
        <v>38</v>
      </c>
      <c r="D87" s="1">
        <v>10000</v>
      </c>
      <c r="E87">
        <v>0</v>
      </c>
      <c r="F87" t="s">
        <v>19</v>
      </c>
      <c r="G87" t="s">
        <v>25</v>
      </c>
      <c r="H87" t="s">
        <v>15</v>
      </c>
      <c r="I87">
        <v>1</v>
      </c>
      <c r="J87" t="s">
        <v>26</v>
      </c>
      <c r="K87" t="s">
        <v>24</v>
      </c>
      <c r="L87">
        <v>26</v>
      </c>
      <c r="M87" t="str">
        <f t="shared" si="1"/>
        <v>Adolescent</v>
      </c>
      <c r="N87" t="s">
        <v>15</v>
      </c>
    </row>
    <row r="88" spans="1:14" x14ac:dyDescent="0.2">
      <c r="A88">
        <v>17191</v>
      </c>
      <c r="B88" t="s">
        <v>39</v>
      </c>
      <c r="C88" t="s">
        <v>38</v>
      </c>
      <c r="D88" s="1">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
      <c r="A90">
        <v>24119</v>
      </c>
      <c r="B90" t="s">
        <v>39</v>
      </c>
      <c r="C90" t="s">
        <v>38</v>
      </c>
      <c r="D90" s="1">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
      <c r="A92">
        <v>26886</v>
      </c>
      <c r="B92" t="s">
        <v>39</v>
      </c>
      <c r="C92" t="s">
        <v>37</v>
      </c>
      <c r="D92" s="1">
        <v>30000</v>
      </c>
      <c r="E92">
        <v>0</v>
      </c>
      <c r="F92" t="s">
        <v>19</v>
      </c>
      <c r="G92" t="s">
        <v>20</v>
      </c>
      <c r="H92" t="s">
        <v>18</v>
      </c>
      <c r="I92">
        <v>1</v>
      </c>
      <c r="J92" t="s">
        <v>16</v>
      </c>
      <c r="K92" t="s">
        <v>17</v>
      </c>
      <c r="L92">
        <v>29</v>
      </c>
      <c r="M92" t="str">
        <f t="shared" si="1"/>
        <v>Adolescent</v>
      </c>
      <c r="N92" t="s">
        <v>15</v>
      </c>
    </row>
    <row r="93" spans="1:14" x14ac:dyDescent="0.2">
      <c r="A93">
        <v>28436</v>
      </c>
      <c r="B93" t="s">
        <v>39</v>
      </c>
      <c r="C93" t="s">
        <v>38</v>
      </c>
      <c r="D93" s="1">
        <v>30000</v>
      </c>
      <c r="E93">
        <v>0</v>
      </c>
      <c r="F93" t="s">
        <v>19</v>
      </c>
      <c r="G93" t="s">
        <v>20</v>
      </c>
      <c r="H93" t="s">
        <v>18</v>
      </c>
      <c r="I93">
        <v>1</v>
      </c>
      <c r="J93" t="s">
        <v>16</v>
      </c>
      <c r="K93" t="s">
        <v>17</v>
      </c>
      <c r="L93">
        <v>30</v>
      </c>
      <c r="M93" t="str">
        <f t="shared" si="1"/>
        <v>Adolescent</v>
      </c>
      <c r="N93" t="s">
        <v>15</v>
      </c>
    </row>
    <row r="94" spans="1:14" x14ac:dyDescent="0.2">
      <c r="A94">
        <v>19562</v>
      </c>
      <c r="B94" t="s">
        <v>39</v>
      </c>
      <c r="C94" t="s">
        <v>37</v>
      </c>
      <c r="D94" s="1">
        <v>60000</v>
      </c>
      <c r="E94">
        <v>2</v>
      </c>
      <c r="F94" t="s">
        <v>13</v>
      </c>
      <c r="G94" t="s">
        <v>21</v>
      </c>
      <c r="H94" t="s">
        <v>15</v>
      </c>
      <c r="I94">
        <v>1</v>
      </c>
      <c r="J94" t="s">
        <v>22</v>
      </c>
      <c r="K94" t="s">
        <v>24</v>
      </c>
      <c r="L94">
        <v>37</v>
      </c>
      <c r="M94" t="str">
        <f t="shared" si="1"/>
        <v>Middle Age</v>
      </c>
      <c r="N94" t="s">
        <v>15</v>
      </c>
    </row>
    <row r="95" spans="1:14" x14ac:dyDescent="0.2">
      <c r="A95">
        <v>15608</v>
      </c>
      <c r="B95" t="s">
        <v>39</v>
      </c>
      <c r="C95" t="s">
        <v>37</v>
      </c>
      <c r="D95" s="1">
        <v>30000</v>
      </c>
      <c r="E95">
        <v>0</v>
      </c>
      <c r="F95" t="s">
        <v>19</v>
      </c>
      <c r="G95" t="s">
        <v>20</v>
      </c>
      <c r="H95" t="s">
        <v>18</v>
      </c>
      <c r="I95">
        <v>1</v>
      </c>
      <c r="J95" t="s">
        <v>22</v>
      </c>
      <c r="K95" t="s">
        <v>17</v>
      </c>
      <c r="L95">
        <v>33</v>
      </c>
      <c r="M95" t="str">
        <f t="shared" si="1"/>
        <v>Middle Age</v>
      </c>
      <c r="N95" t="s">
        <v>18</v>
      </c>
    </row>
    <row r="96" spans="1:14" x14ac:dyDescent="0.2">
      <c r="A96">
        <v>16487</v>
      </c>
      <c r="B96" t="s">
        <v>39</v>
      </c>
      <c r="C96" t="s">
        <v>37</v>
      </c>
      <c r="D96" s="1">
        <v>30000</v>
      </c>
      <c r="E96">
        <v>3</v>
      </c>
      <c r="F96" t="s">
        <v>27</v>
      </c>
      <c r="G96" t="s">
        <v>14</v>
      </c>
      <c r="H96" t="s">
        <v>15</v>
      </c>
      <c r="I96">
        <v>2</v>
      </c>
      <c r="J96" t="s">
        <v>23</v>
      </c>
      <c r="K96" t="s">
        <v>24</v>
      </c>
      <c r="L96">
        <v>55</v>
      </c>
      <c r="M96" t="str">
        <f t="shared" si="1"/>
        <v>Old</v>
      </c>
      <c r="N96" t="s">
        <v>18</v>
      </c>
    </row>
    <row r="97" spans="1:14" x14ac:dyDescent="0.2">
      <c r="A97">
        <v>17197</v>
      </c>
      <c r="B97" t="s">
        <v>39</v>
      </c>
      <c r="C97" t="s">
        <v>37</v>
      </c>
      <c r="D97" s="1">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37</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39</v>
      </c>
      <c r="C102" t="s">
        <v>38</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39</v>
      </c>
      <c r="C103" t="s">
        <v>38</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39</v>
      </c>
      <c r="C105" t="s">
        <v>38</v>
      </c>
      <c r="D105" s="1">
        <v>60000</v>
      </c>
      <c r="E105">
        <v>1</v>
      </c>
      <c r="F105" t="s">
        <v>19</v>
      </c>
      <c r="G105" t="s">
        <v>14</v>
      </c>
      <c r="H105" t="s">
        <v>15</v>
      </c>
      <c r="I105">
        <v>1</v>
      </c>
      <c r="J105" t="s">
        <v>23</v>
      </c>
      <c r="K105" t="s">
        <v>24</v>
      </c>
      <c r="L105">
        <v>45</v>
      </c>
      <c r="M105" t="str">
        <f t="shared" si="1"/>
        <v>Middle Age</v>
      </c>
      <c r="N105" t="s">
        <v>18</v>
      </c>
    </row>
    <row r="106" spans="1:14" x14ac:dyDescent="0.2">
      <c r="A106">
        <v>18491</v>
      </c>
      <c r="B106" t="s">
        <v>39</v>
      </c>
      <c r="C106" t="s">
        <v>37</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39</v>
      </c>
      <c r="C107" t="s">
        <v>37</v>
      </c>
      <c r="D107" s="1">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
      <c r="A109">
        <v>27494</v>
      </c>
      <c r="B109" t="s">
        <v>39</v>
      </c>
      <c r="C109" t="s">
        <v>37</v>
      </c>
      <c r="D109" s="1">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37</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39</v>
      </c>
      <c r="C111" t="s">
        <v>38</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39</v>
      </c>
      <c r="C112" t="s">
        <v>37</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39</v>
      </c>
      <c r="C113" t="s">
        <v>37</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39</v>
      </c>
      <c r="C114" t="s">
        <v>37</v>
      </c>
      <c r="D114" s="1">
        <v>40000</v>
      </c>
      <c r="E114">
        <v>2</v>
      </c>
      <c r="F114" t="s">
        <v>19</v>
      </c>
      <c r="G114" t="s">
        <v>20</v>
      </c>
      <c r="H114" t="s">
        <v>15</v>
      </c>
      <c r="I114">
        <v>2</v>
      </c>
      <c r="J114" t="s">
        <v>26</v>
      </c>
      <c r="K114" t="s">
        <v>17</v>
      </c>
      <c r="L114">
        <v>35</v>
      </c>
      <c r="M114" t="str">
        <f t="shared" si="1"/>
        <v>Middle Age</v>
      </c>
      <c r="N114" t="s">
        <v>18</v>
      </c>
    </row>
    <row r="115" spans="1:14" x14ac:dyDescent="0.2">
      <c r="A115">
        <v>29191</v>
      </c>
      <c r="B115" t="s">
        <v>39</v>
      </c>
      <c r="C115" t="s">
        <v>37</v>
      </c>
      <c r="D115" s="1">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
      <c r="A117">
        <v>24140</v>
      </c>
      <c r="B117" t="s">
        <v>39</v>
      </c>
      <c r="C117" t="s">
        <v>38</v>
      </c>
      <c r="D117" s="1">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37</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39</v>
      </c>
      <c r="C119" t="s">
        <v>37</v>
      </c>
      <c r="D119" s="1">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
      <c r="A121">
        <v>12871</v>
      </c>
      <c r="B121" t="s">
        <v>39</v>
      </c>
      <c r="C121" t="s">
        <v>37</v>
      </c>
      <c r="D121" s="1">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37</v>
      </c>
      <c r="D122" s="1">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39</v>
      </c>
      <c r="C124" t="s">
        <v>37</v>
      </c>
      <c r="D124" s="1">
        <v>80000</v>
      </c>
      <c r="E124">
        <v>0</v>
      </c>
      <c r="F124" t="s">
        <v>13</v>
      </c>
      <c r="G124" t="s">
        <v>21</v>
      </c>
      <c r="H124" t="s">
        <v>18</v>
      </c>
      <c r="I124">
        <v>3</v>
      </c>
      <c r="J124" t="s">
        <v>46</v>
      </c>
      <c r="K124" t="s">
        <v>24</v>
      </c>
      <c r="L124">
        <v>31</v>
      </c>
      <c r="M124" t="str">
        <f t="shared" si="1"/>
        <v>Middle Age</v>
      </c>
      <c r="N124" t="s">
        <v>18</v>
      </c>
    </row>
    <row r="125" spans="1:14" x14ac:dyDescent="0.2">
      <c r="A125">
        <v>23627</v>
      </c>
      <c r="B125" t="s">
        <v>39</v>
      </c>
      <c r="C125" t="s">
        <v>37</v>
      </c>
      <c r="D125" s="1">
        <v>100000</v>
      </c>
      <c r="E125">
        <v>3</v>
      </c>
      <c r="F125" t="s">
        <v>19</v>
      </c>
      <c r="G125" t="s">
        <v>28</v>
      </c>
      <c r="H125" t="s">
        <v>18</v>
      </c>
      <c r="I125">
        <v>4</v>
      </c>
      <c r="J125" t="s">
        <v>23</v>
      </c>
      <c r="K125" t="s">
        <v>17</v>
      </c>
      <c r="L125">
        <v>56</v>
      </c>
      <c r="M125" t="str">
        <f t="shared" si="1"/>
        <v>Old</v>
      </c>
      <c r="N125" t="s">
        <v>18</v>
      </c>
    </row>
    <row r="126" spans="1:14" x14ac:dyDescent="0.2">
      <c r="A126">
        <v>27775</v>
      </c>
      <c r="B126" t="s">
        <v>39</v>
      </c>
      <c r="C126" t="s">
        <v>37</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39</v>
      </c>
      <c r="C128" t="s">
        <v>38</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39</v>
      </c>
      <c r="C130" t="s">
        <v>38</v>
      </c>
      <c r="D130" s="1">
        <v>10000</v>
      </c>
      <c r="E130">
        <v>2</v>
      </c>
      <c r="F130" t="s">
        <v>19</v>
      </c>
      <c r="G130" t="s">
        <v>25</v>
      </c>
      <c r="H130" t="s">
        <v>15</v>
      </c>
      <c r="I130">
        <v>1</v>
      </c>
      <c r="J130" t="s">
        <v>16</v>
      </c>
      <c r="K130" t="s">
        <v>17</v>
      </c>
      <c r="L130">
        <v>52</v>
      </c>
      <c r="M130" t="str">
        <f t="shared" si="1"/>
        <v>Middle Age</v>
      </c>
      <c r="N130" t="s">
        <v>15</v>
      </c>
    </row>
    <row r="131" spans="1:14" x14ac:dyDescent="0.2">
      <c r="A131">
        <v>26818</v>
      </c>
      <c r="B131" t="s">
        <v>39</v>
      </c>
      <c r="C131" t="s">
        <v>38</v>
      </c>
      <c r="D131" s="1">
        <v>10000</v>
      </c>
      <c r="E131">
        <v>3</v>
      </c>
      <c r="F131" t="s">
        <v>27</v>
      </c>
      <c r="G131" t="s">
        <v>25</v>
      </c>
      <c r="H131" t="s">
        <v>15</v>
      </c>
      <c r="I131">
        <v>1</v>
      </c>
      <c r="J131" t="s">
        <v>16</v>
      </c>
      <c r="K131" t="s">
        <v>17</v>
      </c>
      <c r="L131">
        <v>39</v>
      </c>
      <c r="M131" t="str">
        <f t="shared" ref="M131:M194" si="2">IF(L131&gt;54, "Old",IF(L131&gt;=31, "Middle Age",IF(L131&lt;31, "Adolescent","Invalid")))</f>
        <v>Middle Age</v>
      </c>
      <c r="N131" t="s">
        <v>15</v>
      </c>
    </row>
    <row r="132" spans="1:14" x14ac:dyDescent="0.2">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39</v>
      </c>
      <c r="C135" t="s">
        <v>38</v>
      </c>
      <c r="D135" s="1">
        <v>40000</v>
      </c>
      <c r="E135">
        <v>2</v>
      </c>
      <c r="F135" t="s">
        <v>13</v>
      </c>
      <c r="G135" t="s">
        <v>28</v>
      </c>
      <c r="H135" t="s">
        <v>15</v>
      </c>
      <c r="I135">
        <v>2</v>
      </c>
      <c r="J135" t="s">
        <v>23</v>
      </c>
      <c r="K135" t="s">
        <v>24</v>
      </c>
      <c r="L135">
        <v>65</v>
      </c>
      <c r="M135" t="str">
        <f t="shared" si="2"/>
        <v>Old</v>
      </c>
      <c r="N135" t="s">
        <v>15</v>
      </c>
    </row>
    <row r="136" spans="1:14" x14ac:dyDescent="0.2">
      <c r="A136">
        <v>21094</v>
      </c>
      <c r="B136" t="s">
        <v>39</v>
      </c>
      <c r="C136" t="s">
        <v>37</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
      <c r="A138">
        <v>28683</v>
      </c>
      <c r="B138" t="s">
        <v>39</v>
      </c>
      <c r="C138" t="s">
        <v>37</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39</v>
      </c>
      <c r="C139" t="s">
        <v>38</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37</v>
      </c>
      <c r="D140" s="1">
        <v>20000</v>
      </c>
      <c r="E140">
        <v>2</v>
      </c>
      <c r="F140" t="s">
        <v>29</v>
      </c>
      <c r="G140" t="s">
        <v>20</v>
      </c>
      <c r="H140" t="s">
        <v>15</v>
      </c>
      <c r="I140">
        <v>2</v>
      </c>
      <c r="J140" t="s">
        <v>23</v>
      </c>
      <c r="K140" t="s">
        <v>24</v>
      </c>
      <c r="L140">
        <v>55</v>
      </c>
      <c r="M140" t="str">
        <f t="shared" si="2"/>
        <v>Old</v>
      </c>
      <c r="N140" t="s">
        <v>15</v>
      </c>
    </row>
    <row r="141" spans="1:14" x14ac:dyDescent="0.2">
      <c r="A141">
        <v>26547</v>
      </c>
      <c r="B141" t="s">
        <v>39</v>
      </c>
      <c r="C141" t="s">
        <v>37</v>
      </c>
      <c r="D141" s="1">
        <v>30000</v>
      </c>
      <c r="E141">
        <v>2</v>
      </c>
      <c r="F141" t="s">
        <v>19</v>
      </c>
      <c r="G141" t="s">
        <v>20</v>
      </c>
      <c r="H141" t="s">
        <v>18</v>
      </c>
      <c r="I141">
        <v>2</v>
      </c>
      <c r="J141" t="s">
        <v>23</v>
      </c>
      <c r="K141" t="s">
        <v>24</v>
      </c>
      <c r="L141">
        <v>60</v>
      </c>
      <c r="M141" t="str">
        <f t="shared" si="2"/>
        <v>Old</v>
      </c>
      <c r="N141" t="s">
        <v>15</v>
      </c>
    </row>
    <row r="142" spans="1:14" x14ac:dyDescent="0.2">
      <c r="A142">
        <v>22500</v>
      </c>
      <c r="B142" t="s">
        <v>39</v>
      </c>
      <c r="C142" t="s">
        <v>38</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39</v>
      </c>
      <c r="C143" t="s">
        <v>37</v>
      </c>
      <c r="D143" s="1">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37</v>
      </c>
      <c r="D145" s="1">
        <v>80000</v>
      </c>
      <c r="E145">
        <v>0</v>
      </c>
      <c r="F145" t="s">
        <v>13</v>
      </c>
      <c r="G145" t="s">
        <v>21</v>
      </c>
      <c r="H145" t="s">
        <v>15</v>
      </c>
      <c r="I145">
        <v>3</v>
      </c>
      <c r="J145" t="s">
        <v>46</v>
      </c>
      <c r="K145" t="s">
        <v>24</v>
      </c>
      <c r="L145">
        <v>32</v>
      </c>
      <c r="M145" t="str">
        <f t="shared" si="2"/>
        <v>Middle Age</v>
      </c>
      <c r="N145" t="s">
        <v>18</v>
      </c>
    </row>
    <row r="146" spans="1:14" x14ac:dyDescent="0.2">
      <c r="A146">
        <v>20877</v>
      </c>
      <c r="B146" t="s">
        <v>39</v>
      </c>
      <c r="C146" t="s">
        <v>38</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37</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37</v>
      </c>
      <c r="D149" s="1">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
      <c r="A151">
        <v>12728</v>
      </c>
      <c r="B151" t="s">
        <v>39</v>
      </c>
      <c r="C151" t="s">
        <v>38</v>
      </c>
      <c r="D151" s="1">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39</v>
      </c>
      <c r="C153" t="s">
        <v>38</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39</v>
      </c>
      <c r="C154" t="s">
        <v>37</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39</v>
      </c>
      <c r="C156" t="s">
        <v>38</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39</v>
      </c>
      <c r="C157" t="s">
        <v>37</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37</v>
      </c>
      <c r="D158" s="1">
        <v>130000</v>
      </c>
      <c r="E158">
        <v>5</v>
      </c>
      <c r="F158" t="s">
        <v>19</v>
      </c>
      <c r="G158" t="s">
        <v>21</v>
      </c>
      <c r="H158" t="s">
        <v>15</v>
      </c>
      <c r="I158">
        <v>4</v>
      </c>
      <c r="J158" t="s">
        <v>16</v>
      </c>
      <c r="K158" t="s">
        <v>17</v>
      </c>
      <c r="L158">
        <v>59</v>
      </c>
      <c r="M158" t="str">
        <f t="shared" si="2"/>
        <v>Old</v>
      </c>
      <c r="N158" t="s">
        <v>18</v>
      </c>
    </row>
    <row r="159" spans="1:14" x14ac:dyDescent="0.2">
      <c r="A159">
        <v>23979</v>
      </c>
      <c r="B159" t="s">
        <v>39</v>
      </c>
      <c r="C159" t="s">
        <v>38</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39</v>
      </c>
      <c r="C160" t="s">
        <v>37</v>
      </c>
      <c r="D160" s="1">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37</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39</v>
      </c>
      <c r="C162" t="s">
        <v>37</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37</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39</v>
      </c>
      <c r="C164" t="s">
        <v>37</v>
      </c>
      <c r="D164" s="1">
        <v>60000</v>
      </c>
      <c r="E164">
        <v>2</v>
      </c>
      <c r="F164" t="s">
        <v>13</v>
      </c>
      <c r="G164" t="s">
        <v>21</v>
      </c>
      <c r="H164" t="s">
        <v>18</v>
      </c>
      <c r="I164">
        <v>1</v>
      </c>
      <c r="J164" t="s">
        <v>16</v>
      </c>
      <c r="K164" t="s">
        <v>24</v>
      </c>
      <c r="L164">
        <v>38</v>
      </c>
      <c r="M164" t="str">
        <f t="shared" si="2"/>
        <v>Middle Age</v>
      </c>
      <c r="N164" t="s">
        <v>15</v>
      </c>
    </row>
    <row r="165" spans="1:14" x14ac:dyDescent="0.2">
      <c r="A165">
        <v>24279</v>
      </c>
      <c r="B165" t="s">
        <v>39</v>
      </c>
      <c r="C165" t="s">
        <v>38</v>
      </c>
      <c r="D165" s="1">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37</v>
      </c>
      <c r="D167" s="1">
        <v>10000</v>
      </c>
      <c r="E167">
        <v>0</v>
      </c>
      <c r="F167" t="s">
        <v>19</v>
      </c>
      <c r="G167" t="s">
        <v>25</v>
      </c>
      <c r="H167" t="s">
        <v>18</v>
      </c>
      <c r="I167">
        <v>1</v>
      </c>
      <c r="J167" t="s">
        <v>16</v>
      </c>
      <c r="K167" t="s">
        <v>24</v>
      </c>
      <c r="L167">
        <v>25</v>
      </c>
      <c r="M167" t="str">
        <f t="shared" si="2"/>
        <v>Adolescent</v>
      </c>
      <c r="N167" t="s">
        <v>18</v>
      </c>
    </row>
    <row r="168" spans="1:14" x14ac:dyDescent="0.2">
      <c r="A168">
        <v>26757</v>
      </c>
      <c r="B168" t="s">
        <v>39</v>
      </c>
      <c r="C168" t="s">
        <v>38</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39</v>
      </c>
      <c r="C169" t="s">
        <v>38</v>
      </c>
      <c r="D169" s="1">
        <v>100000</v>
      </c>
      <c r="E169">
        <v>0</v>
      </c>
      <c r="F169" t="s">
        <v>27</v>
      </c>
      <c r="G169" t="s">
        <v>28</v>
      </c>
      <c r="H169" t="s">
        <v>15</v>
      </c>
      <c r="I169">
        <v>3</v>
      </c>
      <c r="J169" t="s">
        <v>46</v>
      </c>
      <c r="K169" t="s">
        <v>24</v>
      </c>
      <c r="L169">
        <v>35</v>
      </c>
      <c r="M169" t="str">
        <f t="shared" si="2"/>
        <v>Middle Age</v>
      </c>
      <c r="N169" t="s">
        <v>18</v>
      </c>
    </row>
    <row r="170" spans="1:14" x14ac:dyDescent="0.2">
      <c r="A170">
        <v>14058</v>
      </c>
      <c r="B170" t="s">
        <v>39</v>
      </c>
      <c r="C170" t="s">
        <v>38</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37</v>
      </c>
      <c r="D172" s="1">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37</v>
      </c>
      <c r="D173" s="1">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37</v>
      </c>
      <c r="D175" s="1">
        <v>10000</v>
      </c>
      <c r="E175">
        <v>0</v>
      </c>
      <c r="F175" t="s">
        <v>19</v>
      </c>
      <c r="G175" t="s">
        <v>25</v>
      </c>
      <c r="H175" t="s">
        <v>15</v>
      </c>
      <c r="I175">
        <v>1</v>
      </c>
      <c r="J175" t="s">
        <v>22</v>
      </c>
      <c r="K175" t="s">
        <v>24</v>
      </c>
      <c r="L175">
        <v>27</v>
      </c>
      <c r="M175" t="str">
        <f t="shared" si="2"/>
        <v>Adolescent</v>
      </c>
      <c r="N175" t="s">
        <v>18</v>
      </c>
    </row>
    <row r="176" spans="1:14" x14ac:dyDescent="0.2">
      <c r="A176">
        <v>19442</v>
      </c>
      <c r="B176" t="s">
        <v>39</v>
      </c>
      <c r="C176" t="s">
        <v>38</v>
      </c>
      <c r="D176" s="1">
        <v>50000</v>
      </c>
      <c r="E176">
        <v>0</v>
      </c>
      <c r="F176" t="s">
        <v>31</v>
      </c>
      <c r="G176" t="s">
        <v>14</v>
      </c>
      <c r="H176" t="s">
        <v>15</v>
      </c>
      <c r="I176">
        <v>0</v>
      </c>
      <c r="J176" t="s">
        <v>16</v>
      </c>
      <c r="K176" t="s">
        <v>17</v>
      </c>
      <c r="L176">
        <v>37</v>
      </c>
      <c r="M176" t="str">
        <f t="shared" si="2"/>
        <v>Middle Age</v>
      </c>
      <c r="N176" t="s">
        <v>15</v>
      </c>
    </row>
    <row r="177" spans="1:14" x14ac:dyDescent="0.2">
      <c r="A177">
        <v>17504</v>
      </c>
      <c r="B177" t="s">
        <v>39</v>
      </c>
      <c r="C177" t="s">
        <v>37</v>
      </c>
      <c r="D177" s="1">
        <v>80000</v>
      </c>
      <c r="E177">
        <v>2</v>
      </c>
      <c r="F177" t="s">
        <v>19</v>
      </c>
      <c r="G177" t="s">
        <v>14</v>
      </c>
      <c r="H177" t="s">
        <v>15</v>
      </c>
      <c r="I177">
        <v>2</v>
      </c>
      <c r="J177" t="s">
        <v>23</v>
      </c>
      <c r="K177" t="s">
        <v>24</v>
      </c>
      <c r="L177">
        <v>52</v>
      </c>
      <c r="M177" t="str">
        <f t="shared" si="2"/>
        <v>Middle Age</v>
      </c>
      <c r="N177" t="s">
        <v>15</v>
      </c>
    </row>
    <row r="178" spans="1:14" x14ac:dyDescent="0.2">
      <c r="A178">
        <v>12253</v>
      </c>
      <c r="B178" t="s">
        <v>39</v>
      </c>
      <c r="C178" t="s">
        <v>37</v>
      </c>
      <c r="D178" s="1">
        <v>20000</v>
      </c>
      <c r="E178">
        <v>0</v>
      </c>
      <c r="F178" t="s">
        <v>19</v>
      </c>
      <c r="G178" t="s">
        <v>25</v>
      </c>
      <c r="H178" t="s">
        <v>15</v>
      </c>
      <c r="I178">
        <v>0</v>
      </c>
      <c r="J178" t="s">
        <v>16</v>
      </c>
      <c r="K178" t="s">
        <v>24</v>
      </c>
      <c r="L178">
        <v>29</v>
      </c>
      <c r="M178" t="str">
        <f t="shared" si="2"/>
        <v>Adolescent</v>
      </c>
      <c r="N178" t="s">
        <v>15</v>
      </c>
    </row>
    <row r="179" spans="1:14" x14ac:dyDescent="0.2">
      <c r="A179">
        <v>27304</v>
      </c>
      <c r="B179" t="s">
        <v>39</v>
      </c>
      <c r="C179" t="s">
        <v>37</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37</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39</v>
      </c>
      <c r="C182" t="s">
        <v>38</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37</v>
      </c>
      <c r="D183" s="1">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37</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39</v>
      </c>
      <c r="C185" t="s">
        <v>38</v>
      </c>
      <c r="D185" s="1">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37</v>
      </c>
      <c r="D186" s="1">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37</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37</v>
      </c>
      <c r="D188" s="1">
        <v>30000</v>
      </c>
      <c r="E188">
        <v>3</v>
      </c>
      <c r="F188" t="s">
        <v>27</v>
      </c>
      <c r="G188" t="s">
        <v>14</v>
      </c>
      <c r="H188" t="s">
        <v>18</v>
      </c>
      <c r="I188">
        <v>2</v>
      </c>
      <c r="J188" t="s">
        <v>26</v>
      </c>
      <c r="K188" t="s">
        <v>24</v>
      </c>
      <c r="L188">
        <v>56</v>
      </c>
      <c r="M188" t="str">
        <f t="shared" si="2"/>
        <v>Old</v>
      </c>
      <c r="N188" t="s">
        <v>15</v>
      </c>
    </row>
    <row r="189" spans="1:14" x14ac:dyDescent="0.2">
      <c r="A189">
        <v>18151</v>
      </c>
      <c r="B189" t="s">
        <v>39</v>
      </c>
      <c r="C189" t="s">
        <v>38</v>
      </c>
      <c r="D189" s="1">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37</v>
      </c>
      <c r="D190" s="1">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
      <c r="A193">
        <v>26944</v>
      </c>
      <c r="B193" t="s">
        <v>39</v>
      </c>
      <c r="C193" t="s">
        <v>38</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39</v>
      </c>
      <c r="C194" t="s">
        <v>37</v>
      </c>
      <c r="D194" s="1">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37</v>
      </c>
      <c r="D195" s="1">
        <v>70000</v>
      </c>
      <c r="E195">
        <v>5</v>
      </c>
      <c r="F195" t="s">
        <v>13</v>
      </c>
      <c r="G195" t="s">
        <v>21</v>
      </c>
      <c r="H195" t="s">
        <v>15</v>
      </c>
      <c r="I195">
        <v>4</v>
      </c>
      <c r="J195" t="s">
        <v>46</v>
      </c>
      <c r="K195" t="s">
        <v>24</v>
      </c>
      <c r="L195">
        <v>41</v>
      </c>
      <c r="M195" t="str">
        <f t="shared" ref="M195:M258" si="3">IF(L195&gt;54, "Old",IF(L195&gt;=31, "Middle Age",IF(L195&lt;31, "Adolescent","Invalid")))</f>
        <v>Middle Age</v>
      </c>
      <c r="N195" t="s">
        <v>18</v>
      </c>
    </row>
    <row r="196" spans="1:14" x14ac:dyDescent="0.2">
      <c r="A196">
        <v>17843</v>
      </c>
      <c r="B196" t="s">
        <v>39</v>
      </c>
      <c r="C196" t="s">
        <v>37</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39</v>
      </c>
      <c r="C197" t="s">
        <v>38</v>
      </c>
      <c r="D197" s="1">
        <v>20000</v>
      </c>
      <c r="E197">
        <v>0</v>
      </c>
      <c r="F197" t="s">
        <v>13</v>
      </c>
      <c r="G197" t="s">
        <v>20</v>
      </c>
      <c r="H197" t="s">
        <v>15</v>
      </c>
      <c r="I197">
        <v>0</v>
      </c>
      <c r="J197" t="s">
        <v>16</v>
      </c>
      <c r="K197" t="s">
        <v>24</v>
      </c>
      <c r="L197">
        <v>25</v>
      </c>
      <c r="M197" t="str">
        <f t="shared" si="3"/>
        <v>Adolescent</v>
      </c>
      <c r="N197" t="s">
        <v>15</v>
      </c>
    </row>
    <row r="198" spans="1:14" x14ac:dyDescent="0.2">
      <c r="A198">
        <v>16209</v>
      </c>
      <c r="B198" t="s">
        <v>39</v>
      </c>
      <c r="C198" t="s">
        <v>37</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
      <c r="A200">
        <v>15214</v>
      </c>
      <c r="B200" t="s">
        <v>39</v>
      </c>
      <c r="C200" t="s">
        <v>37</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39</v>
      </c>
      <c r="C201" t="s">
        <v>38</v>
      </c>
      <c r="D201" s="1">
        <v>80000</v>
      </c>
      <c r="E201">
        <v>0</v>
      </c>
      <c r="F201" t="s">
        <v>13</v>
      </c>
      <c r="G201" t="s">
        <v>21</v>
      </c>
      <c r="H201" t="s">
        <v>18</v>
      </c>
      <c r="I201">
        <v>3</v>
      </c>
      <c r="J201" t="s">
        <v>46</v>
      </c>
      <c r="K201" t="s">
        <v>24</v>
      </c>
      <c r="L201">
        <v>33</v>
      </c>
      <c r="M201" t="str">
        <f t="shared" si="3"/>
        <v>Middle Age</v>
      </c>
      <c r="N201" t="s">
        <v>15</v>
      </c>
    </row>
    <row r="202" spans="1:14" x14ac:dyDescent="0.2">
      <c r="A202">
        <v>24584</v>
      </c>
      <c r="B202" t="s">
        <v>39</v>
      </c>
      <c r="C202" t="s">
        <v>38</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
      <c r="A204">
        <v>18626</v>
      </c>
      <c r="B204" t="s">
        <v>39</v>
      </c>
      <c r="C204" t="s">
        <v>38</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39</v>
      </c>
      <c r="C205" t="s">
        <v>37</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39</v>
      </c>
      <c r="C206" t="s">
        <v>37</v>
      </c>
      <c r="D206" s="1">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
      <c r="A208">
        <v>11415</v>
      </c>
      <c r="B208" t="s">
        <v>39</v>
      </c>
      <c r="C208" t="s">
        <v>38</v>
      </c>
      <c r="D208" s="1">
        <v>90000</v>
      </c>
      <c r="E208">
        <v>5</v>
      </c>
      <c r="F208" t="s">
        <v>19</v>
      </c>
      <c r="G208" t="s">
        <v>21</v>
      </c>
      <c r="H208" t="s">
        <v>18</v>
      </c>
      <c r="I208">
        <v>2</v>
      </c>
      <c r="J208" t="s">
        <v>46</v>
      </c>
      <c r="K208" t="s">
        <v>17</v>
      </c>
      <c r="L208">
        <v>62</v>
      </c>
      <c r="M208" t="str">
        <f t="shared" si="3"/>
        <v>Old</v>
      </c>
      <c r="N208" t="s">
        <v>18</v>
      </c>
    </row>
    <row r="209" spans="1:14" x14ac:dyDescent="0.2">
      <c r="A209">
        <v>28729</v>
      </c>
      <c r="B209" t="s">
        <v>39</v>
      </c>
      <c r="C209" t="s">
        <v>37</v>
      </c>
      <c r="D209" s="1">
        <v>20000</v>
      </c>
      <c r="E209">
        <v>0</v>
      </c>
      <c r="F209" t="s">
        <v>29</v>
      </c>
      <c r="G209" t="s">
        <v>25</v>
      </c>
      <c r="H209" t="s">
        <v>15</v>
      </c>
      <c r="I209">
        <v>2</v>
      </c>
      <c r="J209" t="s">
        <v>26</v>
      </c>
      <c r="K209" t="s">
        <v>17</v>
      </c>
      <c r="L209">
        <v>26</v>
      </c>
      <c r="M209" t="str">
        <f t="shared" si="3"/>
        <v>Adolescent</v>
      </c>
      <c r="N209" t="s">
        <v>15</v>
      </c>
    </row>
    <row r="210" spans="1:14" x14ac:dyDescent="0.2">
      <c r="A210">
        <v>22633</v>
      </c>
      <c r="B210" t="s">
        <v>39</v>
      </c>
      <c r="C210" t="s">
        <v>37</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39</v>
      </c>
      <c r="C211" t="s">
        <v>37</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37</v>
      </c>
      <c r="D212" s="1">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37</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39</v>
      </c>
      <c r="C214" t="s">
        <v>37</v>
      </c>
      <c r="D214" s="1">
        <v>30000</v>
      </c>
      <c r="E214">
        <v>0</v>
      </c>
      <c r="F214" t="s">
        <v>19</v>
      </c>
      <c r="G214" t="s">
        <v>20</v>
      </c>
      <c r="H214" t="s">
        <v>18</v>
      </c>
      <c r="I214">
        <v>1</v>
      </c>
      <c r="J214" t="s">
        <v>22</v>
      </c>
      <c r="K214" t="s">
        <v>17</v>
      </c>
      <c r="L214">
        <v>30</v>
      </c>
      <c r="M214" t="str">
        <f t="shared" si="3"/>
        <v>Adolescent</v>
      </c>
      <c r="N214" t="s">
        <v>18</v>
      </c>
    </row>
    <row r="215" spans="1:14" x14ac:dyDescent="0.2">
      <c r="A215">
        <v>11451</v>
      </c>
      <c r="B215" t="s">
        <v>39</v>
      </c>
      <c r="C215" t="s">
        <v>38</v>
      </c>
      <c r="D215" s="1">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
      <c r="A217">
        <v>27951</v>
      </c>
      <c r="B217" t="s">
        <v>39</v>
      </c>
      <c r="C217" t="s">
        <v>38</v>
      </c>
      <c r="D217" s="1">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
      <c r="A219">
        <v>13673</v>
      </c>
      <c r="B219" t="s">
        <v>39</v>
      </c>
      <c r="C219" t="s">
        <v>37</v>
      </c>
      <c r="D219" s="1">
        <v>20000</v>
      </c>
      <c r="E219">
        <v>0</v>
      </c>
      <c r="F219" t="s">
        <v>29</v>
      </c>
      <c r="G219" t="s">
        <v>25</v>
      </c>
      <c r="H219" t="s">
        <v>18</v>
      </c>
      <c r="I219">
        <v>2</v>
      </c>
      <c r="J219" t="s">
        <v>16</v>
      </c>
      <c r="K219" t="s">
        <v>17</v>
      </c>
      <c r="L219">
        <v>25</v>
      </c>
      <c r="M219" t="str">
        <f t="shared" si="3"/>
        <v>Adolescent</v>
      </c>
      <c r="N219" t="s">
        <v>18</v>
      </c>
    </row>
    <row r="220" spans="1:14" x14ac:dyDescent="0.2">
      <c r="A220">
        <v>16043</v>
      </c>
      <c r="B220" t="s">
        <v>39</v>
      </c>
      <c r="C220" t="s">
        <v>38</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39</v>
      </c>
      <c r="C221" t="s">
        <v>38</v>
      </c>
      <c r="D221" s="1">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39</v>
      </c>
      <c r="C223" t="s">
        <v>38</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37</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39</v>
      </c>
      <c r="C225" t="s">
        <v>37</v>
      </c>
      <c r="D225" s="1">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37</v>
      </c>
      <c r="D226" s="1">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39</v>
      </c>
      <c r="C228" t="s">
        <v>37</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37</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39</v>
      </c>
      <c r="C231" t="s">
        <v>38</v>
      </c>
      <c r="D231" s="1">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37</v>
      </c>
      <c r="D233" s="1">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37</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
      <c r="A236">
        <v>24611</v>
      </c>
      <c r="B236" t="s">
        <v>39</v>
      </c>
      <c r="C236" t="s">
        <v>38</v>
      </c>
      <c r="D236" s="1">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37</v>
      </c>
      <c r="D237" s="1">
        <v>10000</v>
      </c>
      <c r="E237">
        <v>1</v>
      </c>
      <c r="F237" t="s">
        <v>31</v>
      </c>
      <c r="G237" t="s">
        <v>20</v>
      </c>
      <c r="H237" t="s">
        <v>15</v>
      </c>
      <c r="I237">
        <v>0</v>
      </c>
      <c r="J237" t="s">
        <v>16</v>
      </c>
      <c r="K237" t="s">
        <v>17</v>
      </c>
      <c r="L237">
        <v>70</v>
      </c>
      <c r="M237" t="str">
        <f t="shared" si="3"/>
        <v>Old</v>
      </c>
      <c r="N237" t="s">
        <v>15</v>
      </c>
    </row>
    <row r="238" spans="1:14" x14ac:dyDescent="0.2">
      <c r="A238">
        <v>25693</v>
      </c>
      <c r="B238" t="s">
        <v>39</v>
      </c>
      <c r="C238" t="s">
        <v>37</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37</v>
      </c>
      <c r="D239" s="1">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39</v>
      </c>
      <c r="C241" t="s">
        <v>37</v>
      </c>
      <c r="D241" s="1">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39</v>
      </c>
      <c r="C243" t="s">
        <v>37</v>
      </c>
      <c r="D243" s="1">
        <v>30000</v>
      </c>
      <c r="E243">
        <v>3</v>
      </c>
      <c r="F243" t="s">
        <v>19</v>
      </c>
      <c r="G243" t="s">
        <v>20</v>
      </c>
      <c r="H243" t="s">
        <v>15</v>
      </c>
      <c r="I243">
        <v>2</v>
      </c>
      <c r="J243" t="s">
        <v>16</v>
      </c>
      <c r="K243" t="s">
        <v>17</v>
      </c>
      <c r="L243">
        <v>27</v>
      </c>
      <c r="M243" t="str">
        <f t="shared" si="3"/>
        <v>Adolescent</v>
      </c>
      <c r="N243" t="s">
        <v>18</v>
      </c>
    </row>
    <row r="244" spans="1:14" x14ac:dyDescent="0.2">
      <c r="A244">
        <v>23908</v>
      </c>
      <c r="B244" t="s">
        <v>39</v>
      </c>
      <c r="C244" t="s">
        <v>38</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39</v>
      </c>
      <c r="C245" t="s">
        <v>37</v>
      </c>
      <c r="D245" s="1">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37</v>
      </c>
      <c r="D246" s="1">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37</v>
      </c>
      <c r="D248" s="1">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37</v>
      </c>
      <c r="D249" s="1">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37</v>
      </c>
      <c r="D250" s="1">
        <v>10000</v>
      </c>
      <c r="E250">
        <v>5</v>
      </c>
      <c r="F250" t="s">
        <v>27</v>
      </c>
      <c r="G250" t="s">
        <v>14</v>
      </c>
      <c r="H250" t="s">
        <v>18</v>
      </c>
      <c r="I250">
        <v>3</v>
      </c>
      <c r="J250" t="s">
        <v>26</v>
      </c>
      <c r="K250" t="s">
        <v>24</v>
      </c>
      <c r="L250">
        <v>62</v>
      </c>
      <c r="M250" t="str">
        <f t="shared" si="3"/>
        <v>Old</v>
      </c>
      <c r="N250" t="s">
        <v>18</v>
      </c>
    </row>
    <row r="251" spans="1:14" x14ac:dyDescent="0.2">
      <c r="A251">
        <v>23432</v>
      </c>
      <c r="B251" t="s">
        <v>39</v>
      </c>
      <c r="C251" t="s">
        <v>38</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
      <c r="A254">
        <v>12666</v>
      </c>
      <c r="B254" t="s">
        <v>39</v>
      </c>
      <c r="C254" t="s">
        <v>38</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
      <c r="A256">
        <v>21375</v>
      </c>
      <c r="B256" t="s">
        <v>39</v>
      </c>
      <c r="C256" t="s">
        <v>38</v>
      </c>
      <c r="D256" s="1">
        <v>20000</v>
      </c>
      <c r="E256">
        <v>2</v>
      </c>
      <c r="F256" t="s">
        <v>29</v>
      </c>
      <c r="G256" t="s">
        <v>20</v>
      </c>
      <c r="H256" t="s">
        <v>15</v>
      </c>
      <c r="I256">
        <v>2</v>
      </c>
      <c r="J256" t="s">
        <v>23</v>
      </c>
      <c r="K256" t="s">
        <v>24</v>
      </c>
      <c r="L256">
        <v>57</v>
      </c>
      <c r="M256" t="str">
        <f t="shared" si="3"/>
        <v>Old</v>
      </c>
      <c r="N256" t="s">
        <v>18</v>
      </c>
    </row>
    <row r="257" spans="1:14" x14ac:dyDescent="0.2">
      <c r="A257">
        <v>20839</v>
      </c>
      <c r="B257" t="s">
        <v>39</v>
      </c>
      <c r="C257" t="s">
        <v>37</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
      <c r="A259">
        <v>14164</v>
      </c>
      <c r="B259" t="s">
        <v>39</v>
      </c>
      <c r="C259" t="s">
        <v>37</v>
      </c>
      <c r="D259" s="1">
        <v>50000</v>
      </c>
      <c r="E259">
        <v>0</v>
      </c>
      <c r="F259" t="s">
        <v>31</v>
      </c>
      <c r="G259" t="s">
        <v>14</v>
      </c>
      <c r="H259" t="s">
        <v>15</v>
      </c>
      <c r="I259">
        <v>0</v>
      </c>
      <c r="J259" t="s">
        <v>16</v>
      </c>
      <c r="K259" t="s">
        <v>17</v>
      </c>
      <c r="L259">
        <v>36</v>
      </c>
      <c r="M259" t="str">
        <f t="shared" ref="M259:M322" si="4">IF(L259&gt;54, "Old",IF(L259&gt;=31, "Middle Age",IF(L259&lt;31, "Adolescent","Invalid")))</f>
        <v>Middle Age</v>
      </c>
      <c r="N259" t="s">
        <v>15</v>
      </c>
    </row>
    <row r="260" spans="1:14" x14ac:dyDescent="0.2">
      <c r="A260">
        <v>14193</v>
      </c>
      <c r="B260" t="s">
        <v>39</v>
      </c>
      <c r="C260" t="s">
        <v>37</v>
      </c>
      <c r="D260" s="1">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39</v>
      </c>
      <c r="C262" t="s">
        <v>37</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37</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37</v>
      </c>
      <c r="D264" s="1">
        <v>10000</v>
      </c>
      <c r="E264">
        <v>2</v>
      </c>
      <c r="F264" t="s">
        <v>19</v>
      </c>
      <c r="G264" t="s">
        <v>25</v>
      </c>
      <c r="H264" t="s">
        <v>15</v>
      </c>
      <c r="I264">
        <v>0</v>
      </c>
      <c r="J264" t="s">
        <v>26</v>
      </c>
      <c r="K264" t="s">
        <v>17</v>
      </c>
      <c r="L264">
        <v>51</v>
      </c>
      <c r="M264" t="str">
        <f t="shared" si="4"/>
        <v>Middle Age</v>
      </c>
      <c r="N264" t="s">
        <v>18</v>
      </c>
    </row>
    <row r="265" spans="1:14" x14ac:dyDescent="0.2">
      <c r="A265">
        <v>23419</v>
      </c>
      <c r="B265" t="s">
        <v>39</v>
      </c>
      <c r="C265" t="s">
        <v>37</v>
      </c>
      <c r="D265" s="1">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
      <c r="A267">
        <v>20919</v>
      </c>
      <c r="B267" t="s">
        <v>39</v>
      </c>
      <c r="C267" t="s">
        <v>37</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39</v>
      </c>
      <c r="C268" t="s">
        <v>37</v>
      </c>
      <c r="D268" s="1">
        <v>20000</v>
      </c>
      <c r="E268">
        <v>5</v>
      </c>
      <c r="F268" t="s">
        <v>27</v>
      </c>
      <c r="G268" t="s">
        <v>25</v>
      </c>
      <c r="H268" t="s">
        <v>15</v>
      </c>
      <c r="I268">
        <v>2</v>
      </c>
      <c r="J268" t="s">
        <v>16</v>
      </c>
      <c r="K268" t="s">
        <v>17</v>
      </c>
      <c r="L268">
        <v>27</v>
      </c>
      <c r="M268" t="str">
        <f t="shared" si="4"/>
        <v>Adolescent</v>
      </c>
      <c r="N268" t="s">
        <v>18</v>
      </c>
    </row>
    <row r="269" spans="1:14" x14ac:dyDescent="0.2">
      <c r="A269">
        <v>13133</v>
      </c>
      <c r="B269" t="s">
        <v>39</v>
      </c>
      <c r="C269" t="s">
        <v>38</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39</v>
      </c>
      <c r="C271" t="s">
        <v>37</v>
      </c>
      <c r="D271" s="1">
        <v>50000</v>
      </c>
      <c r="E271">
        <v>0</v>
      </c>
      <c r="F271" t="s">
        <v>31</v>
      </c>
      <c r="G271" t="s">
        <v>14</v>
      </c>
      <c r="H271" t="s">
        <v>18</v>
      </c>
      <c r="I271">
        <v>0</v>
      </c>
      <c r="J271" t="s">
        <v>16</v>
      </c>
      <c r="K271" t="s">
        <v>17</v>
      </c>
      <c r="L271">
        <v>37</v>
      </c>
      <c r="M271" t="str">
        <f t="shared" si="4"/>
        <v>Middle Age</v>
      </c>
      <c r="N271" t="s">
        <v>15</v>
      </c>
    </row>
    <row r="272" spans="1:14" x14ac:dyDescent="0.2">
      <c r="A272">
        <v>12231</v>
      </c>
      <c r="B272" t="s">
        <v>39</v>
      </c>
      <c r="C272" t="s">
        <v>37</v>
      </c>
      <c r="D272" s="1">
        <v>10000</v>
      </c>
      <c r="E272">
        <v>2</v>
      </c>
      <c r="F272" t="s">
        <v>19</v>
      </c>
      <c r="G272" t="s">
        <v>25</v>
      </c>
      <c r="H272" t="s">
        <v>15</v>
      </c>
      <c r="I272">
        <v>0</v>
      </c>
      <c r="J272" t="s">
        <v>16</v>
      </c>
      <c r="K272" t="s">
        <v>17</v>
      </c>
      <c r="L272">
        <v>51</v>
      </c>
      <c r="M272" t="str">
        <f t="shared" si="4"/>
        <v>Middle Age</v>
      </c>
      <c r="N272" t="s">
        <v>15</v>
      </c>
    </row>
    <row r="273" spans="1:14" x14ac:dyDescent="0.2">
      <c r="A273">
        <v>25665</v>
      </c>
      <c r="B273" t="s">
        <v>39</v>
      </c>
      <c r="C273" t="s">
        <v>37</v>
      </c>
      <c r="D273" s="1">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39</v>
      </c>
      <c r="C275" t="s">
        <v>37</v>
      </c>
      <c r="D275" s="1">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37</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37</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37</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37</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
      <c r="A281">
        <v>16390</v>
      </c>
      <c r="B281" t="s">
        <v>39</v>
      </c>
      <c r="C281" t="s">
        <v>38</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39</v>
      </c>
      <c r="C282" t="s">
        <v>37</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39</v>
      </c>
      <c r="C283" t="s">
        <v>38</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39</v>
      </c>
      <c r="C284" t="s">
        <v>38</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37</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39</v>
      </c>
      <c r="C286" t="s">
        <v>38</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37</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39</v>
      </c>
      <c r="C288" t="s">
        <v>37</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39</v>
      </c>
      <c r="C289" t="s">
        <v>37</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
      <c r="A292">
        <v>28319</v>
      </c>
      <c r="B292" t="s">
        <v>39</v>
      </c>
      <c r="C292" t="s">
        <v>37</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37</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39</v>
      </c>
      <c r="C295" t="s">
        <v>37</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39</v>
      </c>
      <c r="C296" t="s">
        <v>38</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39</v>
      </c>
      <c r="C297" t="s">
        <v>37</v>
      </c>
      <c r="D297" s="1">
        <v>110000</v>
      </c>
      <c r="E297">
        <v>0</v>
      </c>
      <c r="F297" t="s">
        <v>19</v>
      </c>
      <c r="G297" t="s">
        <v>28</v>
      </c>
      <c r="H297" t="s">
        <v>15</v>
      </c>
      <c r="I297">
        <v>3</v>
      </c>
      <c r="J297" t="s">
        <v>46</v>
      </c>
      <c r="K297" t="s">
        <v>24</v>
      </c>
      <c r="L297">
        <v>32</v>
      </c>
      <c r="M297" t="str">
        <f t="shared" si="4"/>
        <v>Middle Age</v>
      </c>
      <c r="N297" t="s">
        <v>15</v>
      </c>
    </row>
    <row r="298" spans="1:14" x14ac:dyDescent="0.2">
      <c r="A298">
        <v>26663</v>
      </c>
      <c r="B298" t="s">
        <v>39</v>
      </c>
      <c r="C298" t="s">
        <v>37</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37</v>
      </c>
      <c r="D300" s="1">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37</v>
      </c>
      <c r="D301" s="1">
        <v>30000</v>
      </c>
      <c r="E301">
        <v>2</v>
      </c>
      <c r="F301" t="s">
        <v>19</v>
      </c>
      <c r="G301" t="s">
        <v>20</v>
      </c>
      <c r="H301" t="s">
        <v>18</v>
      </c>
      <c r="I301">
        <v>2</v>
      </c>
      <c r="J301" t="s">
        <v>23</v>
      </c>
      <c r="K301" t="s">
        <v>24</v>
      </c>
      <c r="L301">
        <v>69</v>
      </c>
      <c r="M301" t="str">
        <f t="shared" si="4"/>
        <v>Old</v>
      </c>
      <c r="N301" t="s">
        <v>18</v>
      </c>
    </row>
    <row r="302" spans="1:14" x14ac:dyDescent="0.2">
      <c r="A302">
        <v>25906</v>
      </c>
      <c r="B302" t="s">
        <v>39</v>
      </c>
      <c r="C302" t="s">
        <v>37</v>
      </c>
      <c r="D302" s="1">
        <v>10000</v>
      </c>
      <c r="E302">
        <v>5</v>
      </c>
      <c r="F302" t="s">
        <v>27</v>
      </c>
      <c r="G302" t="s">
        <v>14</v>
      </c>
      <c r="H302" t="s">
        <v>18</v>
      </c>
      <c r="I302">
        <v>2</v>
      </c>
      <c r="J302" t="s">
        <v>26</v>
      </c>
      <c r="K302" t="s">
        <v>24</v>
      </c>
      <c r="L302">
        <v>62</v>
      </c>
      <c r="M302" t="str">
        <f t="shared" si="4"/>
        <v>Old</v>
      </c>
      <c r="N302" t="s">
        <v>18</v>
      </c>
    </row>
    <row r="303" spans="1:14" x14ac:dyDescent="0.2">
      <c r="A303">
        <v>17926</v>
      </c>
      <c r="B303" t="s">
        <v>39</v>
      </c>
      <c r="C303" t="s">
        <v>37</v>
      </c>
      <c r="D303" s="1">
        <v>40000</v>
      </c>
      <c r="E303">
        <v>0</v>
      </c>
      <c r="F303" t="s">
        <v>13</v>
      </c>
      <c r="G303" t="s">
        <v>20</v>
      </c>
      <c r="H303" t="s">
        <v>18</v>
      </c>
      <c r="I303">
        <v>0</v>
      </c>
      <c r="J303" t="s">
        <v>16</v>
      </c>
      <c r="K303" t="s">
        <v>24</v>
      </c>
      <c r="L303">
        <v>28</v>
      </c>
      <c r="M303" t="str">
        <f t="shared" si="4"/>
        <v>Adolescent</v>
      </c>
      <c r="N303" t="s">
        <v>15</v>
      </c>
    </row>
    <row r="304" spans="1:14" x14ac:dyDescent="0.2">
      <c r="A304">
        <v>26928</v>
      </c>
      <c r="B304" t="s">
        <v>39</v>
      </c>
      <c r="C304" t="s">
        <v>38</v>
      </c>
      <c r="D304" s="1">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37</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39</v>
      </c>
      <c r="C307" t="s">
        <v>38</v>
      </c>
      <c r="D307" s="1">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37</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
      <c r="A315">
        <v>23105</v>
      </c>
      <c r="B315" t="s">
        <v>39</v>
      </c>
      <c r="C315" t="s">
        <v>38</v>
      </c>
      <c r="D315" s="1">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39</v>
      </c>
      <c r="C317" t="s">
        <v>38</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37</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
      <c r="A323">
        <v>16675</v>
      </c>
      <c r="B323" t="s">
        <v>39</v>
      </c>
      <c r="C323" t="s">
        <v>37</v>
      </c>
      <c r="D323" s="1">
        <v>160000</v>
      </c>
      <c r="E323">
        <v>0</v>
      </c>
      <c r="F323" t="s">
        <v>31</v>
      </c>
      <c r="G323" t="s">
        <v>28</v>
      </c>
      <c r="H323" t="s">
        <v>18</v>
      </c>
      <c r="I323">
        <v>3</v>
      </c>
      <c r="J323" t="s">
        <v>16</v>
      </c>
      <c r="K323" t="s">
        <v>24</v>
      </c>
      <c r="L323">
        <v>47</v>
      </c>
      <c r="M323" t="str">
        <f t="shared" ref="M323:M386" si="5">IF(L323&gt;54, "Old",IF(L323&gt;=31, "Middle Age",IF(L323&lt;31, "Adolescent","Invalid")))</f>
        <v>Middle Age</v>
      </c>
      <c r="N323" t="s">
        <v>15</v>
      </c>
    </row>
    <row r="324" spans="1:14" x14ac:dyDescent="0.2">
      <c r="A324">
        <v>16410</v>
      </c>
      <c r="B324" t="s">
        <v>39</v>
      </c>
      <c r="C324" t="s">
        <v>37</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39</v>
      </c>
      <c r="C325" t="s">
        <v>37</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
      <c r="A327">
        <v>23780</v>
      </c>
      <c r="B327" t="s">
        <v>39</v>
      </c>
      <c r="C327" t="s">
        <v>38</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37</v>
      </c>
      <c r="D328" s="1">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39</v>
      </c>
      <c r="C330" t="s">
        <v>38</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37</v>
      </c>
      <c r="D331" s="1">
        <v>90000</v>
      </c>
      <c r="E331">
        <v>5</v>
      </c>
      <c r="F331" t="s">
        <v>29</v>
      </c>
      <c r="G331" t="s">
        <v>14</v>
      </c>
      <c r="H331" t="s">
        <v>15</v>
      </c>
      <c r="I331">
        <v>2</v>
      </c>
      <c r="J331" t="s">
        <v>46</v>
      </c>
      <c r="K331" t="s">
        <v>17</v>
      </c>
      <c r="L331">
        <v>59</v>
      </c>
      <c r="M331" t="str">
        <f t="shared" si="5"/>
        <v>Old</v>
      </c>
      <c r="N331" t="s">
        <v>18</v>
      </c>
    </row>
    <row r="332" spans="1:14" x14ac:dyDescent="0.2">
      <c r="A332">
        <v>24898</v>
      </c>
      <c r="B332" t="s">
        <v>39</v>
      </c>
      <c r="C332" t="s">
        <v>37</v>
      </c>
      <c r="D332" s="1">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
      <c r="A334">
        <v>11489</v>
      </c>
      <c r="B334" t="s">
        <v>39</v>
      </c>
      <c r="C334" t="s">
        <v>37</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39</v>
      </c>
      <c r="C338" t="s">
        <v>38</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39</v>
      </c>
      <c r="C340" t="s">
        <v>37</v>
      </c>
      <c r="D340" s="1">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
      <c r="A342">
        <v>16468</v>
      </c>
      <c r="B342" t="s">
        <v>39</v>
      </c>
      <c r="C342" t="s">
        <v>38</v>
      </c>
      <c r="D342" s="1">
        <v>30000</v>
      </c>
      <c r="E342">
        <v>0</v>
      </c>
      <c r="F342" t="s">
        <v>19</v>
      </c>
      <c r="G342" t="s">
        <v>20</v>
      </c>
      <c r="H342" t="s">
        <v>15</v>
      </c>
      <c r="I342">
        <v>1</v>
      </c>
      <c r="J342" t="s">
        <v>22</v>
      </c>
      <c r="K342" t="s">
        <v>17</v>
      </c>
      <c r="L342">
        <v>30</v>
      </c>
      <c r="M342" t="str">
        <f t="shared" si="5"/>
        <v>Adolescent</v>
      </c>
      <c r="N342" t="s">
        <v>18</v>
      </c>
    </row>
    <row r="343" spans="1:14" x14ac:dyDescent="0.2">
      <c r="A343">
        <v>19174</v>
      </c>
      <c r="B343" t="s">
        <v>39</v>
      </c>
      <c r="C343" t="s">
        <v>37</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39</v>
      </c>
      <c r="C344" t="s">
        <v>38</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39</v>
      </c>
      <c r="C345" t="s">
        <v>37</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39</v>
      </c>
      <c r="C346" t="s">
        <v>38</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37</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39</v>
      </c>
      <c r="C349" t="s">
        <v>37</v>
      </c>
      <c r="D349" s="1">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
      <c r="A351">
        <v>24121</v>
      </c>
      <c r="B351" t="s">
        <v>39</v>
      </c>
      <c r="C351" t="s">
        <v>37</v>
      </c>
      <c r="D351" s="1">
        <v>30000</v>
      </c>
      <c r="E351">
        <v>0</v>
      </c>
      <c r="F351" t="s">
        <v>19</v>
      </c>
      <c r="G351" t="s">
        <v>20</v>
      </c>
      <c r="H351" t="s">
        <v>18</v>
      </c>
      <c r="I351">
        <v>1</v>
      </c>
      <c r="J351" t="s">
        <v>16</v>
      </c>
      <c r="K351" t="s">
        <v>17</v>
      </c>
      <c r="L351">
        <v>29</v>
      </c>
      <c r="M351" t="str">
        <f t="shared" si="5"/>
        <v>Adolescent</v>
      </c>
      <c r="N351" t="s">
        <v>15</v>
      </c>
    </row>
    <row r="352" spans="1:14" x14ac:dyDescent="0.2">
      <c r="A352">
        <v>27878</v>
      </c>
      <c r="B352" t="s">
        <v>39</v>
      </c>
      <c r="C352" t="s">
        <v>38</v>
      </c>
      <c r="D352" s="1">
        <v>20000</v>
      </c>
      <c r="E352">
        <v>0</v>
      </c>
      <c r="F352" t="s">
        <v>19</v>
      </c>
      <c r="G352" t="s">
        <v>25</v>
      </c>
      <c r="H352" t="s">
        <v>18</v>
      </c>
      <c r="I352">
        <v>0</v>
      </c>
      <c r="J352" t="s">
        <v>16</v>
      </c>
      <c r="K352" t="s">
        <v>24</v>
      </c>
      <c r="L352">
        <v>28</v>
      </c>
      <c r="M352" t="str">
        <f t="shared" si="5"/>
        <v>Adolescent</v>
      </c>
      <c r="N352" t="s">
        <v>15</v>
      </c>
    </row>
    <row r="353" spans="1:14" x14ac:dyDescent="0.2">
      <c r="A353">
        <v>13572</v>
      </c>
      <c r="B353" t="s">
        <v>39</v>
      </c>
      <c r="C353" t="s">
        <v>38</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37</v>
      </c>
      <c r="D354" s="1">
        <v>80000</v>
      </c>
      <c r="E354">
        <v>4</v>
      </c>
      <c r="F354" t="s">
        <v>19</v>
      </c>
      <c r="G354" t="s">
        <v>21</v>
      </c>
      <c r="H354" t="s">
        <v>15</v>
      </c>
      <c r="I354">
        <v>2</v>
      </c>
      <c r="J354" t="s">
        <v>22</v>
      </c>
      <c r="K354" t="s">
        <v>17</v>
      </c>
      <c r="L354">
        <v>53</v>
      </c>
      <c r="M354" t="str">
        <f t="shared" si="5"/>
        <v>Middle Age</v>
      </c>
      <c r="N354" t="s">
        <v>18</v>
      </c>
    </row>
    <row r="355" spans="1:14" x14ac:dyDescent="0.2">
      <c r="A355">
        <v>26354</v>
      </c>
      <c r="B355" t="s">
        <v>39</v>
      </c>
      <c r="C355" t="s">
        <v>38</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39</v>
      </c>
      <c r="C356" t="s">
        <v>38</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39</v>
      </c>
      <c r="C357" t="s">
        <v>38</v>
      </c>
      <c r="D357" s="1">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37</v>
      </c>
      <c r="D358" s="1">
        <v>150000</v>
      </c>
      <c r="E358">
        <v>3</v>
      </c>
      <c r="F358" t="s">
        <v>27</v>
      </c>
      <c r="G358" t="s">
        <v>21</v>
      </c>
      <c r="H358" t="s">
        <v>15</v>
      </c>
      <c r="I358">
        <v>3</v>
      </c>
      <c r="J358" t="s">
        <v>16</v>
      </c>
      <c r="K358" t="s">
        <v>17</v>
      </c>
      <c r="L358">
        <v>51</v>
      </c>
      <c r="M358" t="str">
        <f t="shared" si="5"/>
        <v>Middle Age</v>
      </c>
      <c r="N358" t="s">
        <v>15</v>
      </c>
    </row>
    <row r="359" spans="1:14" x14ac:dyDescent="0.2">
      <c r="A359">
        <v>22538</v>
      </c>
      <c r="B359" t="s">
        <v>39</v>
      </c>
      <c r="C359" t="s">
        <v>37</v>
      </c>
      <c r="D359" s="1">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
      <c r="A362">
        <v>13082</v>
      </c>
      <c r="B362" t="s">
        <v>39</v>
      </c>
      <c r="C362" t="s">
        <v>38</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39</v>
      </c>
      <c r="C363" t="s">
        <v>37</v>
      </c>
      <c r="D363" s="1">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37</v>
      </c>
      <c r="D365" s="1">
        <v>40000</v>
      </c>
      <c r="E365">
        <v>2</v>
      </c>
      <c r="F365" t="s">
        <v>13</v>
      </c>
      <c r="G365" t="s">
        <v>28</v>
      </c>
      <c r="H365" t="s">
        <v>15</v>
      </c>
      <c r="I365">
        <v>2</v>
      </c>
      <c r="J365" t="s">
        <v>16</v>
      </c>
      <c r="K365" t="s">
        <v>24</v>
      </c>
      <c r="L365">
        <v>66</v>
      </c>
      <c r="M365" t="str">
        <f t="shared" si="5"/>
        <v>Old</v>
      </c>
      <c r="N365" t="s">
        <v>15</v>
      </c>
    </row>
    <row r="366" spans="1:14" x14ac:dyDescent="0.2">
      <c r="A366">
        <v>19305</v>
      </c>
      <c r="B366" t="s">
        <v>39</v>
      </c>
      <c r="C366" t="s">
        <v>37</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39</v>
      </c>
      <c r="C367" t="s">
        <v>37</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37</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39</v>
      </c>
      <c r="C370" t="s">
        <v>37</v>
      </c>
      <c r="D370" s="1">
        <v>30000</v>
      </c>
      <c r="E370">
        <v>2</v>
      </c>
      <c r="F370" t="s">
        <v>19</v>
      </c>
      <c r="G370" t="s">
        <v>20</v>
      </c>
      <c r="H370" t="s">
        <v>18</v>
      </c>
      <c r="I370">
        <v>2</v>
      </c>
      <c r="J370" t="s">
        <v>23</v>
      </c>
      <c r="K370" t="s">
        <v>24</v>
      </c>
      <c r="L370">
        <v>60</v>
      </c>
      <c r="M370" t="str">
        <f t="shared" si="5"/>
        <v>Old</v>
      </c>
      <c r="N370" t="s">
        <v>15</v>
      </c>
    </row>
    <row r="371" spans="1:14" x14ac:dyDescent="0.2">
      <c r="A371">
        <v>25752</v>
      </c>
      <c r="B371" t="s">
        <v>39</v>
      </c>
      <c r="C371" t="s">
        <v>37</v>
      </c>
      <c r="D371" s="1">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37</v>
      </c>
      <c r="D372" s="1">
        <v>100000</v>
      </c>
      <c r="E372">
        <v>4</v>
      </c>
      <c r="F372" t="s">
        <v>13</v>
      </c>
      <c r="G372" t="s">
        <v>21</v>
      </c>
      <c r="H372" t="s">
        <v>15</v>
      </c>
      <c r="I372">
        <v>1</v>
      </c>
      <c r="J372" t="s">
        <v>46</v>
      </c>
      <c r="K372" t="s">
        <v>24</v>
      </c>
      <c r="L372">
        <v>46</v>
      </c>
      <c r="M372" t="str">
        <f t="shared" si="5"/>
        <v>Middle Age</v>
      </c>
      <c r="N372" t="s">
        <v>18</v>
      </c>
    </row>
    <row r="373" spans="1:14" x14ac:dyDescent="0.2">
      <c r="A373">
        <v>22918</v>
      </c>
      <c r="B373" t="s">
        <v>39</v>
      </c>
      <c r="C373" t="s">
        <v>38</v>
      </c>
      <c r="D373" s="1">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39</v>
      </c>
      <c r="C375" t="s">
        <v>38</v>
      </c>
      <c r="D375" s="1">
        <v>20000</v>
      </c>
      <c r="E375">
        <v>0</v>
      </c>
      <c r="F375" t="s">
        <v>27</v>
      </c>
      <c r="G375" t="s">
        <v>25</v>
      </c>
      <c r="H375" t="s">
        <v>18</v>
      </c>
      <c r="I375">
        <v>1</v>
      </c>
      <c r="J375" t="s">
        <v>22</v>
      </c>
      <c r="K375" t="s">
        <v>17</v>
      </c>
      <c r="L375">
        <v>30</v>
      </c>
      <c r="M375" t="str">
        <f t="shared" si="5"/>
        <v>Adolescent</v>
      </c>
      <c r="N375" t="s">
        <v>18</v>
      </c>
    </row>
    <row r="376" spans="1:14" x14ac:dyDescent="0.2">
      <c r="A376">
        <v>16179</v>
      </c>
      <c r="B376" t="s">
        <v>39</v>
      </c>
      <c r="C376" t="s">
        <v>37</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37</v>
      </c>
      <c r="D377" s="1">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39</v>
      </c>
      <c r="C382" t="s">
        <v>38</v>
      </c>
      <c r="D382" s="1">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37</v>
      </c>
      <c r="D383" s="1">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39</v>
      </c>
      <c r="C386" t="s">
        <v>37</v>
      </c>
      <c r="D386" s="1">
        <v>10000</v>
      </c>
      <c r="E386">
        <v>0</v>
      </c>
      <c r="F386" t="s">
        <v>19</v>
      </c>
      <c r="G386" t="s">
        <v>25</v>
      </c>
      <c r="H386" t="s">
        <v>18</v>
      </c>
      <c r="I386">
        <v>1</v>
      </c>
      <c r="J386" t="s">
        <v>16</v>
      </c>
      <c r="K386" t="s">
        <v>24</v>
      </c>
      <c r="L386">
        <v>28</v>
      </c>
      <c r="M386" t="str">
        <f t="shared" si="5"/>
        <v>Adolescent</v>
      </c>
      <c r="N386" t="s">
        <v>15</v>
      </c>
    </row>
    <row r="387" spans="1:14" x14ac:dyDescent="0.2">
      <c r="A387">
        <v>18018</v>
      </c>
      <c r="B387" t="s">
        <v>39</v>
      </c>
      <c r="C387" t="s">
        <v>38</v>
      </c>
      <c r="D387" s="1">
        <v>30000</v>
      </c>
      <c r="E387">
        <v>3</v>
      </c>
      <c r="F387" t="s">
        <v>19</v>
      </c>
      <c r="G387" t="s">
        <v>20</v>
      </c>
      <c r="H387" t="s">
        <v>15</v>
      </c>
      <c r="I387">
        <v>0</v>
      </c>
      <c r="J387" t="s">
        <v>16</v>
      </c>
      <c r="K387" t="s">
        <v>17</v>
      </c>
      <c r="L387">
        <v>43</v>
      </c>
      <c r="M387" t="str">
        <f t="shared" ref="M387:M450" si="6">IF(L387&gt;54, "Old",IF(L387&gt;=31, "Middle Age",IF(L387&lt;31, "Adolescent","Invalid")))</f>
        <v>Middle Age</v>
      </c>
      <c r="N387" t="s">
        <v>18</v>
      </c>
    </row>
    <row r="388" spans="1:14" x14ac:dyDescent="0.2">
      <c r="A388">
        <v>28957</v>
      </c>
      <c r="B388" t="s">
        <v>39</v>
      </c>
      <c r="C388" t="s">
        <v>37</v>
      </c>
      <c r="D388" s="1">
        <v>120000</v>
      </c>
      <c r="E388">
        <v>0</v>
      </c>
      <c r="F388" t="s">
        <v>29</v>
      </c>
      <c r="G388" t="s">
        <v>21</v>
      </c>
      <c r="H388" t="s">
        <v>15</v>
      </c>
      <c r="I388">
        <v>4</v>
      </c>
      <c r="J388" t="s">
        <v>46</v>
      </c>
      <c r="K388" t="s">
        <v>24</v>
      </c>
      <c r="L388">
        <v>34</v>
      </c>
      <c r="M388" t="str">
        <f t="shared" si="6"/>
        <v>Middle Age</v>
      </c>
      <c r="N388" t="s">
        <v>15</v>
      </c>
    </row>
    <row r="389" spans="1:14" x14ac:dyDescent="0.2">
      <c r="A389">
        <v>13690</v>
      </c>
      <c r="B389" t="s">
        <v>39</v>
      </c>
      <c r="C389" t="s">
        <v>37</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37</v>
      </c>
      <c r="D390" s="1">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37</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39</v>
      </c>
      <c r="C392" t="s">
        <v>38</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39</v>
      </c>
      <c r="C393" t="s">
        <v>37</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39</v>
      </c>
      <c r="C394" t="s">
        <v>38</v>
      </c>
      <c r="D394" s="1">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37</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37</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39</v>
      </c>
      <c r="C398" t="s">
        <v>38</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37</v>
      </c>
      <c r="D399" s="1">
        <v>10000</v>
      </c>
      <c r="E399">
        <v>2</v>
      </c>
      <c r="F399" t="s">
        <v>29</v>
      </c>
      <c r="G399" t="s">
        <v>20</v>
      </c>
      <c r="H399" t="s">
        <v>15</v>
      </c>
      <c r="I399">
        <v>2</v>
      </c>
      <c r="J399" t="s">
        <v>23</v>
      </c>
      <c r="K399" t="s">
        <v>24</v>
      </c>
      <c r="L399">
        <v>58</v>
      </c>
      <c r="M399" t="str">
        <f t="shared" si="6"/>
        <v>Old</v>
      </c>
      <c r="N399" t="s">
        <v>18</v>
      </c>
    </row>
    <row r="400" spans="1:14" x14ac:dyDescent="0.2">
      <c r="A400">
        <v>27771</v>
      </c>
      <c r="B400" t="s">
        <v>39</v>
      </c>
      <c r="C400" t="s">
        <v>38</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39</v>
      </c>
      <c r="C401" t="s">
        <v>37</v>
      </c>
      <c r="D401" s="1">
        <v>40000</v>
      </c>
      <c r="E401">
        <v>2</v>
      </c>
      <c r="F401" t="s">
        <v>13</v>
      </c>
      <c r="G401" t="s">
        <v>28</v>
      </c>
      <c r="H401" t="s">
        <v>18</v>
      </c>
      <c r="I401">
        <v>1</v>
      </c>
      <c r="J401" t="s">
        <v>23</v>
      </c>
      <c r="K401" t="s">
        <v>24</v>
      </c>
      <c r="L401">
        <v>53</v>
      </c>
      <c r="M401" t="str">
        <f t="shared" si="6"/>
        <v>Middle Age</v>
      </c>
      <c r="N401" t="s">
        <v>15</v>
      </c>
    </row>
    <row r="402" spans="1:14" x14ac:dyDescent="0.2">
      <c r="A402">
        <v>25792</v>
      </c>
      <c r="B402" t="s">
        <v>39</v>
      </c>
      <c r="C402" t="s">
        <v>37</v>
      </c>
      <c r="D402" s="1">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37</v>
      </c>
      <c r="D403" s="1">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37</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37</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39</v>
      </c>
      <c r="C409" t="s">
        <v>37</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39</v>
      </c>
      <c r="C410" t="s">
        <v>37</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37</v>
      </c>
      <c r="D411" s="1">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37</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39</v>
      </c>
      <c r="C414" t="s">
        <v>38</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39</v>
      </c>
      <c r="C415" t="s">
        <v>37</v>
      </c>
      <c r="D415" s="1">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37</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37</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39</v>
      </c>
      <c r="C418" t="s">
        <v>38</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39</v>
      </c>
      <c r="C419" t="s">
        <v>37</v>
      </c>
      <c r="D419" s="1">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39</v>
      </c>
      <c r="C421" t="s">
        <v>38</v>
      </c>
      <c r="D421" s="1">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37</v>
      </c>
      <c r="D422" s="1">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
      <c r="A424">
        <v>24901</v>
      </c>
      <c r="B424" t="s">
        <v>39</v>
      </c>
      <c r="C424" t="s">
        <v>38</v>
      </c>
      <c r="D424" s="1">
        <v>110000</v>
      </c>
      <c r="E424">
        <v>0</v>
      </c>
      <c r="F424" t="s">
        <v>19</v>
      </c>
      <c r="G424" t="s">
        <v>28</v>
      </c>
      <c r="H424" t="s">
        <v>18</v>
      </c>
      <c r="I424">
        <v>3</v>
      </c>
      <c r="J424" t="s">
        <v>46</v>
      </c>
      <c r="K424" t="s">
        <v>24</v>
      </c>
      <c r="L424">
        <v>32</v>
      </c>
      <c r="M424" t="str">
        <f t="shared" si="6"/>
        <v>Middle Age</v>
      </c>
      <c r="N424" t="s">
        <v>15</v>
      </c>
    </row>
    <row r="425" spans="1:14" x14ac:dyDescent="0.2">
      <c r="A425">
        <v>27169</v>
      </c>
      <c r="B425" t="s">
        <v>39</v>
      </c>
      <c r="C425" t="s">
        <v>38</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39</v>
      </c>
      <c r="C426" t="s">
        <v>37</v>
      </c>
      <c r="D426" s="1">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
      <c r="A428">
        <v>19389</v>
      </c>
      <c r="B428" t="s">
        <v>39</v>
      </c>
      <c r="C428" t="s">
        <v>38</v>
      </c>
      <c r="D428" s="1">
        <v>30000</v>
      </c>
      <c r="E428">
        <v>0</v>
      </c>
      <c r="F428" t="s">
        <v>19</v>
      </c>
      <c r="G428" t="s">
        <v>20</v>
      </c>
      <c r="H428" t="s">
        <v>18</v>
      </c>
      <c r="I428">
        <v>1</v>
      </c>
      <c r="J428" t="s">
        <v>22</v>
      </c>
      <c r="K428" t="s">
        <v>17</v>
      </c>
      <c r="L428">
        <v>28</v>
      </c>
      <c r="M428" t="str">
        <f t="shared" si="6"/>
        <v>Adolescent</v>
      </c>
      <c r="N428" t="s">
        <v>18</v>
      </c>
    </row>
    <row r="429" spans="1:14" x14ac:dyDescent="0.2">
      <c r="A429">
        <v>17048</v>
      </c>
      <c r="B429" t="s">
        <v>39</v>
      </c>
      <c r="C429" t="s">
        <v>37</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39</v>
      </c>
      <c r="C431" t="s">
        <v>37</v>
      </c>
      <c r="D431" s="1">
        <v>30000</v>
      </c>
      <c r="E431">
        <v>0</v>
      </c>
      <c r="F431" t="s">
        <v>19</v>
      </c>
      <c r="G431" t="s">
        <v>20</v>
      </c>
      <c r="H431" t="s">
        <v>15</v>
      </c>
      <c r="I431">
        <v>1</v>
      </c>
      <c r="J431" t="s">
        <v>22</v>
      </c>
      <c r="K431" t="s">
        <v>17</v>
      </c>
      <c r="L431">
        <v>31</v>
      </c>
      <c r="M431" t="str">
        <f t="shared" si="6"/>
        <v>Middle Age</v>
      </c>
      <c r="N431" t="s">
        <v>18</v>
      </c>
    </row>
    <row r="432" spans="1:14" x14ac:dyDescent="0.2">
      <c r="A432">
        <v>15019</v>
      </c>
      <c r="B432" t="s">
        <v>39</v>
      </c>
      <c r="C432" t="s">
        <v>37</v>
      </c>
      <c r="D432" s="1">
        <v>30000</v>
      </c>
      <c r="E432">
        <v>3</v>
      </c>
      <c r="F432" t="s">
        <v>27</v>
      </c>
      <c r="G432" t="s">
        <v>14</v>
      </c>
      <c r="H432" t="s">
        <v>15</v>
      </c>
      <c r="I432">
        <v>2</v>
      </c>
      <c r="J432" t="s">
        <v>23</v>
      </c>
      <c r="K432" t="s">
        <v>24</v>
      </c>
      <c r="L432">
        <v>55</v>
      </c>
      <c r="M432" t="str">
        <f t="shared" si="6"/>
        <v>Old</v>
      </c>
      <c r="N432" t="s">
        <v>18</v>
      </c>
    </row>
    <row r="433" spans="1:14" x14ac:dyDescent="0.2">
      <c r="A433">
        <v>28488</v>
      </c>
      <c r="B433" t="s">
        <v>39</v>
      </c>
      <c r="C433" t="s">
        <v>38</v>
      </c>
      <c r="D433" s="1">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37</v>
      </c>
      <c r="D434" s="1">
        <v>110000</v>
      </c>
      <c r="E434">
        <v>0</v>
      </c>
      <c r="F434" t="s">
        <v>27</v>
      </c>
      <c r="G434" t="s">
        <v>28</v>
      </c>
      <c r="H434" t="s">
        <v>15</v>
      </c>
      <c r="I434">
        <v>3</v>
      </c>
      <c r="J434" t="s">
        <v>46</v>
      </c>
      <c r="K434" t="s">
        <v>24</v>
      </c>
      <c r="L434">
        <v>34</v>
      </c>
      <c r="M434" t="str">
        <f t="shared" si="6"/>
        <v>Middle Age</v>
      </c>
      <c r="N434" t="s">
        <v>15</v>
      </c>
    </row>
    <row r="435" spans="1:14" x14ac:dyDescent="0.2">
      <c r="A435">
        <v>27814</v>
      </c>
      <c r="B435" t="s">
        <v>39</v>
      </c>
      <c r="C435" t="s">
        <v>37</v>
      </c>
      <c r="D435" s="1">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37</v>
      </c>
      <c r="D436" s="1">
        <v>30000</v>
      </c>
      <c r="E436">
        <v>3</v>
      </c>
      <c r="F436" t="s">
        <v>27</v>
      </c>
      <c r="G436" t="s">
        <v>14</v>
      </c>
      <c r="H436" t="s">
        <v>15</v>
      </c>
      <c r="I436">
        <v>2</v>
      </c>
      <c r="J436" t="s">
        <v>23</v>
      </c>
      <c r="K436" t="s">
        <v>24</v>
      </c>
      <c r="L436">
        <v>53</v>
      </c>
      <c r="M436" t="str">
        <f t="shared" si="6"/>
        <v>Middle Age</v>
      </c>
      <c r="N436" t="s">
        <v>15</v>
      </c>
    </row>
    <row r="437" spans="1:14" x14ac:dyDescent="0.2">
      <c r="A437">
        <v>29447</v>
      </c>
      <c r="B437" t="s">
        <v>39</v>
      </c>
      <c r="C437" t="s">
        <v>37</v>
      </c>
      <c r="D437" s="1">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37</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39</v>
      </c>
      <c r="C439" t="s">
        <v>37</v>
      </c>
      <c r="D439" s="1">
        <v>30000</v>
      </c>
      <c r="E439">
        <v>3</v>
      </c>
      <c r="F439" t="s">
        <v>19</v>
      </c>
      <c r="G439" t="s">
        <v>20</v>
      </c>
      <c r="H439" t="s">
        <v>15</v>
      </c>
      <c r="I439">
        <v>2</v>
      </c>
      <c r="J439" t="s">
        <v>16</v>
      </c>
      <c r="K439" t="s">
        <v>17</v>
      </c>
      <c r="L439">
        <v>28</v>
      </c>
      <c r="M439" t="str">
        <f t="shared" si="6"/>
        <v>Adolescent</v>
      </c>
      <c r="N439" t="s">
        <v>15</v>
      </c>
    </row>
    <row r="440" spans="1:14" x14ac:dyDescent="0.2">
      <c r="A440">
        <v>24093</v>
      </c>
      <c r="B440" t="s">
        <v>39</v>
      </c>
      <c r="C440" t="s">
        <v>37</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39</v>
      </c>
      <c r="C442" t="s">
        <v>38</v>
      </c>
      <c r="D442" s="1">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
      <c r="A444">
        <v>26651</v>
      </c>
      <c r="B444" t="s">
        <v>39</v>
      </c>
      <c r="C444" t="s">
        <v>38</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37</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39</v>
      </c>
      <c r="C446" t="s">
        <v>38</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37</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37</v>
      </c>
      <c r="D448" s="1">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37</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37</v>
      </c>
      <c r="D450" s="1">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37</v>
      </c>
      <c r="D451" s="1">
        <v>40000</v>
      </c>
      <c r="E451">
        <v>1</v>
      </c>
      <c r="F451" t="s">
        <v>13</v>
      </c>
      <c r="G451" t="s">
        <v>14</v>
      </c>
      <c r="H451" t="s">
        <v>15</v>
      </c>
      <c r="I451">
        <v>0</v>
      </c>
      <c r="J451" t="s">
        <v>16</v>
      </c>
      <c r="K451" t="s">
        <v>17</v>
      </c>
      <c r="L451">
        <v>42</v>
      </c>
      <c r="M451" t="str">
        <f t="shared" ref="M451:M514" si="7">IF(L451&gt;54, "Old",IF(L451&gt;=31, "Middle Age",IF(L451&lt;31, "Adolescent","Invalid")))</f>
        <v>Middle Age</v>
      </c>
      <c r="N451" t="s">
        <v>18</v>
      </c>
    </row>
    <row r="452" spans="1:14" x14ac:dyDescent="0.2">
      <c r="A452">
        <v>16559</v>
      </c>
      <c r="B452" t="s">
        <v>39</v>
      </c>
      <c r="C452" t="s">
        <v>37</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37</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37</v>
      </c>
      <c r="D454" s="1">
        <v>30000</v>
      </c>
      <c r="E454">
        <v>2</v>
      </c>
      <c r="F454" t="s">
        <v>19</v>
      </c>
      <c r="G454" t="s">
        <v>20</v>
      </c>
      <c r="H454" t="s">
        <v>18</v>
      </c>
      <c r="I454">
        <v>2</v>
      </c>
      <c r="J454" t="s">
        <v>16</v>
      </c>
      <c r="K454" t="s">
        <v>24</v>
      </c>
      <c r="L454">
        <v>69</v>
      </c>
      <c r="M454" t="str">
        <f t="shared" si="7"/>
        <v>Old</v>
      </c>
      <c r="N454" t="s">
        <v>18</v>
      </c>
    </row>
    <row r="455" spans="1:14" x14ac:dyDescent="0.2">
      <c r="A455">
        <v>26765</v>
      </c>
      <c r="B455" t="s">
        <v>39</v>
      </c>
      <c r="C455" t="s">
        <v>37</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39</v>
      </c>
      <c r="C456" t="s">
        <v>38</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37</v>
      </c>
      <c r="D457" s="1">
        <v>80000</v>
      </c>
      <c r="E457">
        <v>4</v>
      </c>
      <c r="F457" t="s">
        <v>19</v>
      </c>
      <c r="G457" t="s">
        <v>21</v>
      </c>
      <c r="H457" t="s">
        <v>18</v>
      </c>
      <c r="I457">
        <v>1</v>
      </c>
      <c r="J457" t="s">
        <v>22</v>
      </c>
      <c r="K457" t="s">
        <v>17</v>
      </c>
      <c r="L457">
        <v>53</v>
      </c>
      <c r="M457" t="str">
        <f t="shared" si="7"/>
        <v>Middle Age</v>
      </c>
      <c r="N457" t="s">
        <v>15</v>
      </c>
    </row>
    <row r="458" spans="1:14" x14ac:dyDescent="0.2">
      <c r="A458">
        <v>26385</v>
      </c>
      <c r="B458" t="s">
        <v>39</v>
      </c>
      <c r="C458" t="s">
        <v>38</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37</v>
      </c>
      <c r="D459" s="1">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
      <c r="A461">
        <v>21554</v>
      </c>
      <c r="B461" t="s">
        <v>39</v>
      </c>
      <c r="C461" t="s">
        <v>37</v>
      </c>
      <c r="D461" s="1">
        <v>80000</v>
      </c>
      <c r="E461">
        <v>0</v>
      </c>
      <c r="F461" t="s">
        <v>13</v>
      </c>
      <c r="G461" t="s">
        <v>21</v>
      </c>
      <c r="H461" t="s">
        <v>18</v>
      </c>
      <c r="I461">
        <v>3</v>
      </c>
      <c r="J461" t="s">
        <v>46</v>
      </c>
      <c r="K461" t="s">
        <v>24</v>
      </c>
      <c r="L461">
        <v>33</v>
      </c>
      <c r="M461" t="str">
        <f t="shared" si="7"/>
        <v>Middle Age</v>
      </c>
      <c r="N461" t="s">
        <v>18</v>
      </c>
    </row>
    <row r="462" spans="1:14" x14ac:dyDescent="0.2">
      <c r="A462">
        <v>13662</v>
      </c>
      <c r="B462" t="s">
        <v>39</v>
      </c>
      <c r="C462" t="s">
        <v>38</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37</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37</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39</v>
      </c>
      <c r="C465" t="s">
        <v>38</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39</v>
      </c>
      <c r="C466" t="s">
        <v>37</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
      <c r="A468">
        <v>16549</v>
      </c>
      <c r="B468" t="s">
        <v>39</v>
      </c>
      <c r="C468" t="s">
        <v>37</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39</v>
      </c>
      <c r="C469" t="s">
        <v>38</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37</v>
      </c>
      <c r="D470" s="1">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37</v>
      </c>
      <c r="D471" s="1">
        <v>30000</v>
      </c>
      <c r="E471">
        <v>1</v>
      </c>
      <c r="F471" t="s">
        <v>13</v>
      </c>
      <c r="G471" t="s">
        <v>20</v>
      </c>
      <c r="H471" t="s">
        <v>15</v>
      </c>
      <c r="I471">
        <v>0</v>
      </c>
      <c r="J471" t="s">
        <v>16</v>
      </c>
      <c r="K471" t="s">
        <v>17</v>
      </c>
      <c r="L471">
        <v>65</v>
      </c>
      <c r="M471" t="str">
        <f t="shared" si="7"/>
        <v>Old</v>
      </c>
      <c r="N471" t="s">
        <v>18</v>
      </c>
    </row>
    <row r="472" spans="1:14" x14ac:dyDescent="0.2">
      <c r="A472">
        <v>15612</v>
      </c>
      <c r="B472" t="s">
        <v>39</v>
      </c>
      <c r="C472" t="s">
        <v>38</v>
      </c>
      <c r="D472" s="1">
        <v>30000</v>
      </c>
      <c r="E472">
        <v>0</v>
      </c>
      <c r="F472" t="s">
        <v>27</v>
      </c>
      <c r="G472" t="s">
        <v>25</v>
      </c>
      <c r="H472" t="s">
        <v>18</v>
      </c>
      <c r="I472">
        <v>1</v>
      </c>
      <c r="J472" t="s">
        <v>26</v>
      </c>
      <c r="K472" t="s">
        <v>17</v>
      </c>
      <c r="L472">
        <v>28</v>
      </c>
      <c r="M472" t="str">
        <f t="shared" si="7"/>
        <v>Adolescent</v>
      </c>
      <c r="N472" t="s">
        <v>18</v>
      </c>
    </row>
    <row r="473" spans="1:14" x14ac:dyDescent="0.2">
      <c r="A473">
        <v>28323</v>
      </c>
      <c r="B473" t="s">
        <v>39</v>
      </c>
      <c r="C473" t="s">
        <v>38</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39</v>
      </c>
      <c r="C474" t="s">
        <v>37</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37</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37</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
      <c r="A478">
        <v>21974</v>
      </c>
      <c r="B478" t="s">
        <v>39</v>
      </c>
      <c r="C478" t="s">
        <v>37</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37</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39</v>
      </c>
      <c r="C483" t="s">
        <v>37</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39</v>
      </c>
      <c r="C484" t="s">
        <v>38</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
      <c r="A486">
        <v>25681</v>
      </c>
      <c r="B486" t="s">
        <v>39</v>
      </c>
      <c r="C486" t="s">
        <v>37</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39</v>
      </c>
      <c r="C487" t="s">
        <v>38</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37</v>
      </c>
      <c r="D488" s="1">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39</v>
      </c>
      <c r="C490" t="s">
        <v>37</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39</v>
      </c>
      <c r="C494" t="s">
        <v>37</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39</v>
      </c>
      <c r="C495" t="s">
        <v>38</v>
      </c>
      <c r="D495" s="1">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
      <c r="A498">
        <v>20678</v>
      </c>
      <c r="B498" t="s">
        <v>39</v>
      </c>
      <c r="C498" t="s">
        <v>37</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39</v>
      </c>
      <c r="C499" t="s">
        <v>37</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39</v>
      </c>
      <c r="C501" t="s">
        <v>37</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37</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37</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37</v>
      </c>
      <c r="D508" s="1">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37</v>
      </c>
      <c r="D509" s="1">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39</v>
      </c>
      <c r="C512" t="s">
        <v>38</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39</v>
      </c>
      <c r="C513" t="s">
        <v>38</v>
      </c>
      <c r="D513" s="1">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37</v>
      </c>
      <c r="D514" s="1">
        <v>60000</v>
      </c>
      <c r="E514">
        <v>1</v>
      </c>
      <c r="F514" t="s">
        <v>19</v>
      </c>
      <c r="G514" t="s">
        <v>14</v>
      </c>
      <c r="H514" t="s">
        <v>15</v>
      </c>
      <c r="I514">
        <v>1</v>
      </c>
      <c r="J514" t="s">
        <v>16</v>
      </c>
      <c r="K514" t="s">
        <v>32</v>
      </c>
      <c r="L514">
        <v>45</v>
      </c>
      <c r="M514" t="str">
        <f t="shared" si="7"/>
        <v>Middle Age</v>
      </c>
      <c r="N514" t="s">
        <v>15</v>
      </c>
    </row>
    <row r="515" spans="1:14" x14ac:dyDescent="0.2">
      <c r="A515">
        <v>13353</v>
      </c>
      <c r="B515" t="s">
        <v>39</v>
      </c>
      <c r="C515" t="s">
        <v>37</v>
      </c>
      <c r="D515" s="1">
        <v>60000</v>
      </c>
      <c r="E515">
        <v>4</v>
      </c>
      <c r="F515" t="s">
        <v>31</v>
      </c>
      <c r="G515" t="s">
        <v>28</v>
      </c>
      <c r="H515" t="s">
        <v>15</v>
      </c>
      <c r="I515">
        <v>2</v>
      </c>
      <c r="J515" t="s">
        <v>46</v>
      </c>
      <c r="K515" t="s">
        <v>32</v>
      </c>
      <c r="L515">
        <v>61</v>
      </c>
      <c r="M515" t="str">
        <f t="shared" ref="M515:M578" si="8">IF(L515&gt;54, "Old",IF(L515&gt;=31, "Middle Age",IF(L515&lt;31, "Adolescent","Invalid")))</f>
        <v>Old</v>
      </c>
      <c r="N515" t="s">
        <v>15</v>
      </c>
    </row>
    <row r="516" spans="1:14" x14ac:dyDescent="0.2">
      <c r="A516">
        <v>19399</v>
      </c>
      <c r="B516" t="s">
        <v>39</v>
      </c>
      <c r="C516" t="s">
        <v>38</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37</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37</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39</v>
      </c>
      <c r="C519" t="s">
        <v>38</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37</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
      <c r="A522">
        <v>27638</v>
      </c>
      <c r="B522" t="s">
        <v>39</v>
      </c>
      <c r="C522" t="s">
        <v>38</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39</v>
      </c>
      <c r="C523" t="s">
        <v>38</v>
      </c>
      <c r="D523" s="1">
        <v>40000</v>
      </c>
      <c r="E523">
        <v>4</v>
      </c>
      <c r="F523" t="s">
        <v>27</v>
      </c>
      <c r="G523" t="s">
        <v>21</v>
      </c>
      <c r="H523" t="s">
        <v>15</v>
      </c>
      <c r="I523">
        <v>2</v>
      </c>
      <c r="J523" t="s">
        <v>46</v>
      </c>
      <c r="K523" t="s">
        <v>32</v>
      </c>
      <c r="L523">
        <v>62</v>
      </c>
      <c r="M523" t="str">
        <f t="shared" si="8"/>
        <v>Old</v>
      </c>
      <c r="N523" t="s">
        <v>15</v>
      </c>
    </row>
    <row r="524" spans="1:14" x14ac:dyDescent="0.2">
      <c r="A524">
        <v>19413</v>
      </c>
      <c r="B524" t="s">
        <v>39</v>
      </c>
      <c r="C524" t="s">
        <v>38</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39</v>
      </c>
      <c r="C526" t="s">
        <v>37</v>
      </c>
      <c r="D526" s="1">
        <v>80000</v>
      </c>
      <c r="E526">
        <v>4</v>
      </c>
      <c r="F526" t="s">
        <v>31</v>
      </c>
      <c r="G526" t="s">
        <v>28</v>
      </c>
      <c r="H526" t="s">
        <v>15</v>
      </c>
      <c r="I526">
        <v>2</v>
      </c>
      <c r="J526" t="s">
        <v>23</v>
      </c>
      <c r="K526" t="s">
        <v>32</v>
      </c>
      <c r="L526">
        <v>67</v>
      </c>
      <c r="M526" t="str">
        <f t="shared" si="8"/>
        <v>Old</v>
      </c>
      <c r="N526" t="s">
        <v>18</v>
      </c>
    </row>
    <row r="527" spans="1:14" x14ac:dyDescent="0.2">
      <c r="A527">
        <v>16791</v>
      </c>
      <c r="B527" t="s">
        <v>39</v>
      </c>
      <c r="C527" t="s">
        <v>38</v>
      </c>
      <c r="D527" s="1">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37</v>
      </c>
      <c r="D528" s="1">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39</v>
      </c>
      <c r="C530" t="s">
        <v>37</v>
      </c>
      <c r="D530" s="1">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
      <c r="A533">
        <v>14092</v>
      </c>
      <c r="B533" t="s">
        <v>39</v>
      </c>
      <c r="C533" t="s">
        <v>38</v>
      </c>
      <c r="D533" s="1">
        <v>30000</v>
      </c>
      <c r="E533">
        <v>0</v>
      </c>
      <c r="F533" t="s">
        <v>29</v>
      </c>
      <c r="G533" t="s">
        <v>20</v>
      </c>
      <c r="H533" t="s">
        <v>15</v>
      </c>
      <c r="I533">
        <v>2</v>
      </c>
      <c r="J533" t="s">
        <v>23</v>
      </c>
      <c r="K533" t="s">
        <v>32</v>
      </c>
      <c r="L533">
        <v>28</v>
      </c>
      <c r="M533" t="str">
        <f t="shared" si="8"/>
        <v>Adolescent</v>
      </c>
      <c r="N533" t="s">
        <v>18</v>
      </c>
    </row>
    <row r="534" spans="1:14" x14ac:dyDescent="0.2">
      <c r="A534">
        <v>29143</v>
      </c>
      <c r="B534" t="s">
        <v>39</v>
      </c>
      <c r="C534" t="s">
        <v>37</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
      <c r="A538">
        <v>13907</v>
      </c>
      <c r="B538" t="s">
        <v>39</v>
      </c>
      <c r="C538" t="s">
        <v>37</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37</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37</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39</v>
      </c>
      <c r="C541" t="s">
        <v>37</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39</v>
      </c>
      <c r="C542" t="s">
        <v>37</v>
      </c>
      <c r="D542" s="1">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37</v>
      </c>
      <c r="D545" s="1">
        <v>70000</v>
      </c>
      <c r="E545">
        <v>2</v>
      </c>
      <c r="F545" t="s">
        <v>27</v>
      </c>
      <c r="G545" t="s">
        <v>21</v>
      </c>
      <c r="H545" t="s">
        <v>15</v>
      </c>
      <c r="I545">
        <v>2</v>
      </c>
      <c r="J545" t="s">
        <v>22</v>
      </c>
      <c r="K545" t="s">
        <v>32</v>
      </c>
      <c r="L545">
        <v>53</v>
      </c>
      <c r="M545" t="str">
        <f t="shared" si="8"/>
        <v>Middle Age</v>
      </c>
      <c r="N545" t="s">
        <v>18</v>
      </c>
    </row>
    <row r="546" spans="1:14" x14ac:dyDescent="0.2">
      <c r="A546">
        <v>24397</v>
      </c>
      <c r="B546" t="s">
        <v>39</v>
      </c>
      <c r="C546" t="s">
        <v>38</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39</v>
      </c>
      <c r="C547" t="s">
        <v>38</v>
      </c>
      <c r="D547" s="1">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
      <c r="A550">
        <v>18674</v>
      </c>
      <c r="B550" t="s">
        <v>39</v>
      </c>
      <c r="C550" t="s">
        <v>37</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37</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39</v>
      </c>
      <c r="C552" t="s">
        <v>37</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37</v>
      </c>
      <c r="D553" s="1">
        <v>50000</v>
      </c>
      <c r="E553">
        <v>4</v>
      </c>
      <c r="F553" t="s">
        <v>13</v>
      </c>
      <c r="G553" t="s">
        <v>28</v>
      </c>
      <c r="H553" t="s">
        <v>15</v>
      </c>
      <c r="I553">
        <v>2</v>
      </c>
      <c r="J553" t="s">
        <v>46</v>
      </c>
      <c r="K553" t="s">
        <v>32</v>
      </c>
      <c r="L553">
        <v>63</v>
      </c>
      <c r="M553" t="str">
        <f t="shared" si="8"/>
        <v>Old</v>
      </c>
      <c r="N553" t="s">
        <v>18</v>
      </c>
    </row>
    <row r="554" spans="1:14" x14ac:dyDescent="0.2">
      <c r="A554">
        <v>14417</v>
      </c>
      <c r="B554" t="s">
        <v>39</v>
      </c>
      <c r="C554" t="s">
        <v>38</v>
      </c>
      <c r="D554" s="1">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37</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39</v>
      </c>
      <c r="C557" t="s">
        <v>38</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37</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37</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39</v>
      </c>
      <c r="C561" t="s">
        <v>37</v>
      </c>
      <c r="D561" s="1">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37</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37</v>
      </c>
      <c r="D563" s="1">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37</v>
      </c>
      <c r="D564" s="1">
        <v>70000</v>
      </c>
      <c r="E564">
        <v>2</v>
      </c>
      <c r="F564" t="s">
        <v>31</v>
      </c>
      <c r="G564" t="s">
        <v>21</v>
      </c>
      <c r="H564" t="s">
        <v>15</v>
      </c>
      <c r="I564">
        <v>0</v>
      </c>
      <c r="J564" t="s">
        <v>22</v>
      </c>
      <c r="K564" t="s">
        <v>32</v>
      </c>
      <c r="L564">
        <v>34</v>
      </c>
      <c r="M564" t="str">
        <f t="shared" si="8"/>
        <v>Middle Age</v>
      </c>
      <c r="N564" t="s">
        <v>15</v>
      </c>
    </row>
    <row r="565" spans="1:14" x14ac:dyDescent="0.2">
      <c r="A565">
        <v>25006</v>
      </c>
      <c r="B565" t="s">
        <v>39</v>
      </c>
      <c r="C565" t="s">
        <v>37</v>
      </c>
      <c r="D565" s="1">
        <v>30000</v>
      </c>
      <c r="E565">
        <v>0</v>
      </c>
      <c r="F565" t="s">
        <v>19</v>
      </c>
      <c r="G565" t="s">
        <v>14</v>
      </c>
      <c r="H565" t="s">
        <v>15</v>
      </c>
      <c r="I565">
        <v>1</v>
      </c>
      <c r="J565" t="s">
        <v>23</v>
      </c>
      <c r="K565" t="s">
        <v>32</v>
      </c>
      <c r="L565">
        <v>28</v>
      </c>
      <c r="M565" t="str">
        <f t="shared" si="8"/>
        <v>Adolescent</v>
      </c>
      <c r="N565" t="s">
        <v>18</v>
      </c>
    </row>
    <row r="566" spans="1:14" x14ac:dyDescent="0.2">
      <c r="A566">
        <v>17369</v>
      </c>
      <c r="B566" t="s">
        <v>39</v>
      </c>
      <c r="C566" t="s">
        <v>38</v>
      </c>
      <c r="D566" s="1">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37</v>
      </c>
      <c r="D568" s="1">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39</v>
      </c>
      <c r="C571" t="s">
        <v>38</v>
      </c>
      <c r="D571" s="1">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
      <c r="A574">
        <v>23549</v>
      </c>
      <c r="B574" t="s">
        <v>39</v>
      </c>
      <c r="C574" t="s">
        <v>38</v>
      </c>
      <c r="D574" s="1">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
      <c r="A576">
        <v>21266</v>
      </c>
      <c r="B576" t="s">
        <v>39</v>
      </c>
      <c r="C576" t="s">
        <v>37</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39</v>
      </c>
      <c r="C577" t="s">
        <v>38</v>
      </c>
      <c r="D577" s="1">
        <v>60000</v>
      </c>
      <c r="E577">
        <v>2</v>
      </c>
      <c r="F577" t="s">
        <v>19</v>
      </c>
      <c r="G577" t="s">
        <v>21</v>
      </c>
      <c r="H577" t="s">
        <v>15</v>
      </c>
      <c r="I577">
        <v>1</v>
      </c>
      <c r="J577" t="s">
        <v>46</v>
      </c>
      <c r="K577" t="s">
        <v>32</v>
      </c>
      <c r="L577">
        <v>56</v>
      </c>
      <c r="M577" t="str">
        <f t="shared" si="8"/>
        <v>Old</v>
      </c>
      <c r="N577" t="s">
        <v>18</v>
      </c>
    </row>
    <row r="578" spans="1:14" x14ac:dyDescent="0.2">
      <c r="A578">
        <v>18752</v>
      </c>
      <c r="B578" t="s">
        <v>39</v>
      </c>
      <c r="C578" t="s">
        <v>37</v>
      </c>
      <c r="D578" s="1">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1">
        <v>120000</v>
      </c>
      <c r="E579">
        <v>1</v>
      </c>
      <c r="F579" t="s">
        <v>13</v>
      </c>
      <c r="G579" t="s">
        <v>28</v>
      </c>
      <c r="H579" t="s">
        <v>15</v>
      </c>
      <c r="I579">
        <v>4</v>
      </c>
      <c r="J579" t="s">
        <v>16</v>
      </c>
      <c r="K579" t="s">
        <v>32</v>
      </c>
      <c r="L579">
        <v>38</v>
      </c>
      <c r="M579" t="str">
        <f t="shared" ref="M579:M642" si="9">IF(L579&gt;54, "Old",IF(L579&gt;=31, "Middle Age",IF(L579&lt;31, "Adolescent","Invalid")))</f>
        <v>Middle Age</v>
      </c>
      <c r="N579" t="s">
        <v>18</v>
      </c>
    </row>
    <row r="580" spans="1:14" x14ac:dyDescent="0.2">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
      <c r="A581">
        <v>25329</v>
      </c>
      <c r="B581" t="s">
        <v>39</v>
      </c>
      <c r="C581" t="s">
        <v>37</v>
      </c>
      <c r="D581" s="1">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37</v>
      </c>
      <c r="D582" s="1">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
      <c r="A586">
        <v>28667</v>
      </c>
      <c r="B586" t="s">
        <v>39</v>
      </c>
      <c r="C586" t="s">
        <v>38</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39</v>
      </c>
      <c r="C587" t="s">
        <v>38</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37</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37</v>
      </c>
      <c r="D590" s="1">
        <v>90000</v>
      </c>
      <c r="E590">
        <v>2</v>
      </c>
      <c r="F590" t="s">
        <v>27</v>
      </c>
      <c r="G590" t="s">
        <v>21</v>
      </c>
      <c r="H590" t="s">
        <v>15</v>
      </c>
      <c r="I590">
        <v>1</v>
      </c>
      <c r="J590" t="s">
        <v>46</v>
      </c>
      <c r="K590" t="s">
        <v>32</v>
      </c>
      <c r="L590">
        <v>51</v>
      </c>
      <c r="M590" t="str">
        <f t="shared" si="9"/>
        <v>Middle Age</v>
      </c>
      <c r="N590" t="s">
        <v>15</v>
      </c>
    </row>
    <row r="591" spans="1:14" x14ac:dyDescent="0.2">
      <c r="A591">
        <v>12100</v>
      </c>
      <c r="B591" t="s">
        <v>39</v>
      </c>
      <c r="C591" t="s">
        <v>38</v>
      </c>
      <c r="D591" s="1">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37</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
      <c r="A594">
        <v>18391</v>
      </c>
      <c r="B594" t="s">
        <v>39</v>
      </c>
      <c r="C594" t="s">
        <v>37</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39</v>
      </c>
      <c r="C595" t="s">
        <v>37</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
      <c r="A597">
        <v>18058</v>
      </c>
      <c r="B597" t="s">
        <v>39</v>
      </c>
      <c r="C597" t="s">
        <v>37</v>
      </c>
      <c r="D597" s="1">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37</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39</v>
      </c>
      <c r="C599" t="s">
        <v>38</v>
      </c>
      <c r="D599" s="1">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37</v>
      </c>
      <c r="D601" s="1">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39</v>
      </c>
      <c r="C603" t="s">
        <v>38</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39</v>
      </c>
      <c r="C604" t="s">
        <v>38</v>
      </c>
      <c r="D604" s="1">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
      <c r="A607">
        <v>17458</v>
      </c>
      <c r="B607" t="s">
        <v>39</v>
      </c>
      <c r="C607" t="s">
        <v>38</v>
      </c>
      <c r="D607" s="1">
        <v>70000</v>
      </c>
      <c r="E607">
        <v>3</v>
      </c>
      <c r="F607" t="s">
        <v>27</v>
      </c>
      <c r="G607" t="s">
        <v>21</v>
      </c>
      <c r="H607" t="s">
        <v>15</v>
      </c>
      <c r="I607">
        <v>0</v>
      </c>
      <c r="J607" t="s">
        <v>23</v>
      </c>
      <c r="K607" t="s">
        <v>32</v>
      </c>
      <c r="L607">
        <v>52</v>
      </c>
      <c r="M607" t="str">
        <f t="shared" si="9"/>
        <v>Middle Age</v>
      </c>
      <c r="N607" t="s">
        <v>15</v>
      </c>
    </row>
    <row r="608" spans="1:14" x14ac:dyDescent="0.2">
      <c r="A608">
        <v>11644</v>
      </c>
      <c r="B608" t="s">
        <v>39</v>
      </c>
      <c r="C608" t="s">
        <v>38</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39</v>
      </c>
      <c r="C609" t="s">
        <v>37</v>
      </c>
      <c r="D609" s="1">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37</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39</v>
      </c>
      <c r="C614" t="s">
        <v>37</v>
      </c>
      <c r="D614" s="1">
        <v>30000</v>
      </c>
      <c r="E614">
        <v>0</v>
      </c>
      <c r="F614" t="s">
        <v>29</v>
      </c>
      <c r="G614" t="s">
        <v>20</v>
      </c>
      <c r="H614" t="s">
        <v>15</v>
      </c>
      <c r="I614">
        <v>2</v>
      </c>
      <c r="J614" t="s">
        <v>23</v>
      </c>
      <c r="K614" t="s">
        <v>32</v>
      </c>
      <c r="L614">
        <v>27</v>
      </c>
      <c r="M614" t="str">
        <f t="shared" si="9"/>
        <v>Adolescent</v>
      </c>
      <c r="N614" t="s">
        <v>18</v>
      </c>
    </row>
    <row r="615" spans="1:14" x14ac:dyDescent="0.2">
      <c r="A615">
        <v>25184</v>
      </c>
      <c r="B615" t="s">
        <v>39</v>
      </c>
      <c r="C615" t="s">
        <v>38</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37</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39</v>
      </c>
      <c r="C617" t="s">
        <v>37</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39</v>
      </c>
      <c r="C618" t="s">
        <v>37</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
      <c r="A620">
        <v>25347</v>
      </c>
      <c r="B620" t="s">
        <v>39</v>
      </c>
      <c r="C620" t="s">
        <v>37</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39</v>
      </c>
      <c r="C621" t="s">
        <v>37</v>
      </c>
      <c r="D621" s="1">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37</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37</v>
      </c>
      <c r="D625" s="1">
        <v>70000</v>
      </c>
      <c r="E625">
        <v>4</v>
      </c>
      <c r="F625" t="s">
        <v>19</v>
      </c>
      <c r="G625" t="s">
        <v>21</v>
      </c>
      <c r="H625" t="s">
        <v>15</v>
      </c>
      <c r="I625">
        <v>1</v>
      </c>
      <c r="J625" t="s">
        <v>26</v>
      </c>
      <c r="K625" t="s">
        <v>32</v>
      </c>
      <c r="L625">
        <v>55</v>
      </c>
      <c r="M625" t="str">
        <f t="shared" si="9"/>
        <v>Old</v>
      </c>
      <c r="N625" t="s">
        <v>18</v>
      </c>
    </row>
    <row r="626" spans="1:14" x14ac:dyDescent="0.2">
      <c r="A626">
        <v>25943</v>
      </c>
      <c r="B626" t="s">
        <v>39</v>
      </c>
      <c r="C626" t="s">
        <v>37</v>
      </c>
      <c r="D626" s="1">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37</v>
      </c>
      <c r="D628" s="1">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37</v>
      </c>
      <c r="D629" s="1">
        <v>60000</v>
      </c>
      <c r="E629">
        <v>3</v>
      </c>
      <c r="F629" t="s">
        <v>31</v>
      </c>
      <c r="G629" t="s">
        <v>28</v>
      </c>
      <c r="H629" t="s">
        <v>15</v>
      </c>
      <c r="I629">
        <v>2</v>
      </c>
      <c r="J629" t="s">
        <v>26</v>
      </c>
      <c r="K629" t="s">
        <v>32</v>
      </c>
      <c r="L629">
        <v>67</v>
      </c>
      <c r="M629" t="str">
        <f t="shared" si="9"/>
        <v>Old</v>
      </c>
      <c r="N629" t="s">
        <v>18</v>
      </c>
    </row>
    <row r="630" spans="1:14" x14ac:dyDescent="0.2">
      <c r="A630">
        <v>29255</v>
      </c>
      <c r="B630" t="s">
        <v>39</v>
      </c>
      <c r="C630" t="s">
        <v>38</v>
      </c>
      <c r="D630" s="1">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37</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
      <c r="A633">
        <v>27643</v>
      </c>
      <c r="B633" t="s">
        <v>39</v>
      </c>
      <c r="C633" t="s">
        <v>38</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39</v>
      </c>
      <c r="C634" t="s">
        <v>37</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37</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
      <c r="A637">
        <v>24745</v>
      </c>
      <c r="B637" t="s">
        <v>39</v>
      </c>
      <c r="C637" t="s">
        <v>37</v>
      </c>
      <c r="D637" s="1">
        <v>30000</v>
      </c>
      <c r="E637">
        <v>2</v>
      </c>
      <c r="F637" t="s">
        <v>27</v>
      </c>
      <c r="G637" t="s">
        <v>14</v>
      </c>
      <c r="H637" t="s">
        <v>18</v>
      </c>
      <c r="I637">
        <v>2</v>
      </c>
      <c r="J637" t="s">
        <v>16</v>
      </c>
      <c r="K637" t="s">
        <v>32</v>
      </c>
      <c r="L637">
        <v>49</v>
      </c>
      <c r="M637" t="str">
        <f t="shared" si="9"/>
        <v>Middle Age</v>
      </c>
      <c r="N637" t="s">
        <v>18</v>
      </c>
    </row>
    <row r="638" spans="1:14" x14ac:dyDescent="0.2">
      <c r="A638">
        <v>29237</v>
      </c>
      <c r="B638" t="s">
        <v>39</v>
      </c>
      <c r="C638" t="s">
        <v>37</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39</v>
      </c>
      <c r="C639" t="s">
        <v>38</v>
      </c>
      <c r="D639" s="1">
        <v>40000</v>
      </c>
      <c r="E639">
        <v>0</v>
      </c>
      <c r="F639" t="s">
        <v>27</v>
      </c>
      <c r="G639" t="s">
        <v>14</v>
      </c>
      <c r="H639" t="s">
        <v>18</v>
      </c>
      <c r="I639">
        <v>2</v>
      </c>
      <c r="J639" t="s">
        <v>26</v>
      </c>
      <c r="K639" t="s">
        <v>32</v>
      </c>
      <c r="L639">
        <v>30</v>
      </c>
      <c r="M639" t="str">
        <f t="shared" si="9"/>
        <v>Adolescent</v>
      </c>
      <c r="N639" t="s">
        <v>18</v>
      </c>
    </row>
    <row r="640" spans="1:14" x14ac:dyDescent="0.2">
      <c r="A640">
        <v>18949</v>
      </c>
      <c r="B640" t="s">
        <v>39</v>
      </c>
      <c r="C640" t="s">
        <v>38</v>
      </c>
      <c r="D640" s="1">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37</v>
      </c>
      <c r="D642" s="1">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1">
        <v>50000</v>
      </c>
      <c r="E643">
        <v>4</v>
      </c>
      <c r="F643" t="s">
        <v>13</v>
      </c>
      <c r="G643" t="s">
        <v>28</v>
      </c>
      <c r="H643" t="s">
        <v>15</v>
      </c>
      <c r="I643">
        <v>2</v>
      </c>
      <c r="J643" t="s">
        <v>46</v>
      </c>
      <c r="K643" t="s">
        <v>32</v>
      </c>
      <c r="L643">
        <v>64</v>
      </c>
      <c r="M643" t="str">
        <f t="shared" ref="M643:M706" si="10">IF(L643&gt;54, "Old",IF(L643&gt;=31, "Middle Age",IF(L643&lt;31, "Adolescent","Invalid")))</f>
        <v>Old</v>
      </c>
      <c r="N643" t="s">
        <v>18</v>
      </c>
    </row>
    <row r="644" spans="1:14" x14ac:dyDescent="0.2">
      <c r="A644">
        <v>21741</v>
      </c>
      <c r="B644" t="s">
        <v>36</v>
      </c>
      <c r="C644" t="s">
        <v>37</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37</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37</v>
      </c>
      <c r="D646" s="1">
        <v>60000</v>
      </c>
      <c r="E646">
        <v>5</v>
      </c>
      <c r="F646" t="s">
        <v>13</v>
      </c>
      <c r="G646" t="s">
        <v>14</v>
      </c>
      <c r="H646" t="s">
        <v>15</v>
      </c>
      <c r="I646">
        <v>3</v>
      </c>
      <c r="J646" t="s">
        <v>46</v>
      </c>
      <c r="K646" t="s">
        <v>32</v>
      </c>
      <c r="L646">
        <v>41</v>
      </c>
      <c r="M646" t="str">
        <f t="shared" si="10"/>
        <v>Middle Age</v>
      </c>
      <c r="N646" t="s">
        <v>18</v>
      </c>
    </row>
    <row r="647" spans="1:14" x14ac:dyDescent="0.2">
      <c r="A647">
        <v>16217</v>
      </c>
      <c r="B647" t="s">
        <v>39</v>
      </c>
      <c r="C647" t="s">
        <v>37</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39</v>
      </c>
      <c r="C648" t="s">
        <v>37</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39</v>
      </c>
      <c r="C649" t="s">
        <v>38</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39</v>
      </c>
      <c r="C650" t="s">
        <v>37</v>
      </c>
      <c r="D650" s="1">
        <v>70000</v>
      </c>
      <c r="E650">
        <v>2</v>
      </c>
      <c r="F650" t="s">
        <v>13</v>
      </c>
      <c r="G650" t="s">
        <v>28</v>
      </c>
      <c r="H650" t="s">
        <v>18</v>
      </c>
      <c r="I650">
        <v>1</v>
      </c>
      <c r="J650" t="s">
        <v>22</v>
      </c>
      <c r="K650" t="s">
        <v>32</v>
      </c>
      <c r="L650">
        <v>58</v>
      </c>
      <c r="M650" t="str">
        <f t="shared" si="10"/>
        <v>Old</v>
      </c>
      <c r="N650" t="s">
        <v>15</v>
      </c>
    </row>
    <row r="651" spans="1:14" x14ac:dyDescent="0.2">
      <c r="A651">
        <v>19164</v>
      </c>
      <c r="B651" t="s">
        <v>39</v>
      </c>
      <c r="C651" t="s">
        <v>37</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39</v>
      </c>
      <c r="C652" t="s">
        <v>37</v>
      </c>
      <c r="D652" s="1">
        <v>70000</v>
      </c>
      <c r="E652">
        <v>5</v>
      </c>
      <c r="F652" t="s">
        <v>31</v>
      </c>
      <c r="G652" t="s">
        <v>28</v>
      </c>
      <c r="H652" t="s">
        <v>15</v>
      </c>
      <c r="I652">
        <v>2</v>
      </c>
      <c r="J652" t="s">
        <v>46</v>
      </c>
      <c r="K652" t="s">
        <v>32</v>
      </c>
      <c r="L652">
        <v>67</v>
      </c>
      <c r="M652" t="str">
        <f t="shared" si="10"/>
        <v>Old</v>
      </c>
      <c r="N652" t="s">
        <v>15</v>
      </c>
    </row>
    <row r="653" spans="1:14" x14ac:dyDescent="0.2">
      <c r="A653">
        <v>14284</v>
      </c>
      <c r="B653" t="s">
        <v>39</v>
      </c>
      <c r="C653" t="s">
        <v>38</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39</v>
      </c>
      <c r="C655" t="s">
        <v>38</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39</v>
      </c>
      <c r="C656" t="s">
        <v>38</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37</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39</v>
      </c>
      <c r="C660" t="s">
        <v>38</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39</v>
      </c>
      <c r="C661" t="s">
        <v>37</v>
      </c>
      <c r="D661" s="1">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37</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39</v>
      </c>
      <c r="C663" t="s">
        <v>38</v>
      </c>
      <c r="D663" s="1">
        <v>40000</v>
      </c>
      <c r="E663">
        <v>0</v>
      </c>
      <c r="F663" t="s">
        <v>27</v>
      </c>
      <c r="G663" t="s">
        <v>14</v>
      </c>
      <c r="H663" t="s">
        <v>18</v>
      </c>
      <c r="I663">
        <v>2</v>
      </c>
      <c r="J663" t="s">
        <v>16</v>
      </c>
      <c r="K663" t="s">
        <v>32</v>
      </c>
      <c r="L663">
        <v>28</v>
      </c>
      <c r="M663" t="str">
        <f t="shared" si="10"/>
        <v>Adolescent</v>
      </c>
      <c r="N663" t="s">
        <v>15</v>
      </c>
    </row>
    <row r="664" spans="1:14" x14ac:dyDescent="0.2">
      <c r="A664">
        <v>27637</v>
      </c>
      <c r="B664" t="s">
        <v>39</v>
      </c>
      <c r="C664" t="s">
        <v>37</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37</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37</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37</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37</v>
      </c>
      <c r="D669" s="1">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37</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37</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
      <c r="A673">
        <v>22252</v>
      </c>
      <c r="B673" t="s">
        <v>39</v>
      </c>
      <c r="C673" t="s">
        <v>37</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39</v>
      </c>
      <c r="C674" t="s">
        <v>37</v>
      </c>
      <c r="D674" s="1">
        <v>40000</v>
      </c>
      <c r="E674">
        <v>0</v>
      </c>
      <c r="F674" t="s">
        <v>27</v>
      </c>
      <c r="G674" t="s">
        <v>14</v>
      </c>
      <c r="H674" t="s">
        <v>15</v>
      </c>
      <c r="I674">
        <v>2</v>
      </c>
      <c r="J674" t="s">
        <v>23</v>
      </c>
      <c r="K674" t="s">
        <v>32</v>
      </c>
      <c r="L674">
        <v>30</v>
      </c>
      <c r="M674" t="str">
        <f t="shared" si="10"/>
        <v>Adolescent</v>
      </c>
      <c r="N674" t="s">
        <v>18</v>
      </c>
    </row>
    <row r="675" spans="1:14" x14ac:dyDescent="0.2">
      <c r="A675">
        <v>11817</v>
      </c>
      <c r="B675" t="s">
        <v>39</v>
      </c>
      <c r="C675" t="s">
        <v>37</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37</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37</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39</v>
      </c>
      <c r="C683" t="s">
        <v>37</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37</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39</v>
      </c>
      <c r="C686" t="s">
        <v>37</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39</v>
      </c>
      <c r="C687" t="s">
        <v>37</v>
      </c>
      <c r="D687" s="1">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37</v>
      </c>
      <c r="D688" s="1">
        <v>40000</v>
      </c>
      <c r="E688">
        <v>1</v>
      </c>
      <c r="F688" t="s">
        <v>19</v>
      </c>
      <c r="G688" t="s">
        <v>20</v>
      </c>
      <c r="H688" t="s">
        <v>15</v>
      </c>
      <c r="I688">
        <v>1</v>
      </c>
      <c r="J688" t="s">
        <v>26</v>
      </c>
      <c r="K688" t="s">
        <v>32</v>
      </c>
      <c r="L688">
        <v>51</v>
      </c>
      <c r="M688" t="str">
        <f t="shared" si="10"/>
        <v>Middle Age</v>
      </c>
      <c r="N688" t="s">
        <v>15</v>
      </c>
    </row>
    <row r="689" spans="1:14" x14ac:dyDescent="0.2">
      <c r="A689">
        <v>18910</v>
      </c>
      <c r="B689" t="s">
        <v>39</v>
      </c>
      <c r="C689" t="s">
        <v>38</v>
      </c>
      <c r="D689" s="1">
        <v>30000</v>
      </c>
      <c r="E689">
        <v>0</v>
      </c>
      <c r="F689" t="s">
        <v>19</v>
      </c>
      <c r="G689" t="s">
        <v>14</v>
      </c>
      <c r="H689" t="s">
        <v>15</v>
      </c>
      <c r="I689">
        <v>2</v>
      </c>
      <c r="J689" t="s">
        <v>23</v>
      </c>
      <c r="K689" t="s">
        <v>32</v>
      </c>
      <c r="L689">
        <v>30</v>
      </c>
      <c r="M689" t="str">
        <f t="shared" si="10"/>
        <v>Adolescent</v>
      </c>
      <c r="N689" t="s">
        <v>18</v>
      </c>
    </row>
    <row r="690" spans="1:14" x14ac:dyDescent="0.2">
      <c r="A690">
        <v>11699</v>
      </c>
      <c r="B690" t="s">
        <v>39</v>
      </c>
      <c r="C690" t="s">
        <v>38</v>
      </c>
      <c r="D690" s="1">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
      <c r="A692">
        <v>28269</v>
      </c>
      <c r="B692" t="s">
        <v>39</v>
      </c>
      <c r="C692" t="s">
        <v>37</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39</v>
      </c>
      <c r="C695" t="s">
        <v>37</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39</v>
      </c>
      <c r="C696" t="s">
        <v>37</v>
      </c>
      <c r="D696" s="1">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
      <c r="A698">
        <v>29112</v>
      </c>
      <c r="B698" t="s">
        <v>39</v>
      </c>
      <c r="C698" t="s">
        <v>38</v>
      </c>
      <c r="D698" s="1">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37</v>
      </c>
      <c r="D699" s="1">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39</v>
      </c>
      <c r="C701" t="s">
        <v>38</v>
      </c>
      <c r="D701" s="1">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37</v>
      </c>
      <c r="D702" s="1">
        <v>70000</v>
      </c>
      <c r="E702">
        <v>4</v>
      </c>
      <c r="F702" t="s">
        <v>13</v>
      </c>
      <c r="G702" t="s">
        <v>28</v>
      </c>
      <c r="H702" t="s">
        <v>15</v>
      </c>
      <c r="I702">
        <v>1</v>
      </c>
      <c r="J702" t="s">
        <v>26</v>
      </c>
      <c r="K702" t="s">
        <v>32</v>
      </c>
      <c r="L702">
        <v>59</v>
      </c>
      <c r="M702" t="str">
        <f t="shared" si="10"/>
        <v>Old</v>
      </c>
      <c r="N702" t="s">
        <v>18</v>
      </c>
    </row>
    <row r="703" spans="1:14" x14ac:dyDescent="0.2">
      <c r="A703">
        <v>22014</v>
      </c>
      <c r="B703" t="s">
        <v>39</v>
      </c>
      <c r="C703" t="s">
        <v>38</v>
      </c>
      <c r="D703" s="1">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39</v>
      </c>
      <c r="C705" t="s">
        <v>37</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39</v>
      </c>
      <c r="C706" t="s">
        <v>37</v>
      </c>
      <c r="D706" s="1">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37</v>
      </c>
      <c r="D707" s="1">
        <v>70000</v>
      </c>
      <c r="E707">
        <v>4</v>
      </c>
      <c r="F707" t="s">
        <v>13</v>
      </c>
      <c r="G707" t="s">
        <v>28</v>
      </c>
      <c r="H707" t="s">
        <v>15</v>
      </c>
      <c r="I707">
        <v>1</v>
      </c>
      <c r="J707" t="s">
        <v>46</v>
      </c>
      <c r="K707" t="s">
        <v>32</v>
      </c>
      <c r="L707">
        <v>59</v>
      </c>
      <c r="M707" t="str">
        <f t="shared" ref="M707:M770" si="11">IF(L707&gt;54, "Old",IF(L707&gt;=31, "Middle Age",IF(L707&lt;31, "Adolescent","Invalid")))</f>
        <v>Old</v>
      </c>
      <c r="N707" t="s">
        <v>18</v>
      </c>
    </row>
    <row r="708" spans="1:14" x14ac:dyDescent="0.2">
      <c r="A708">
        <v>20296</v>
      </c>
      <c r="B708" t="s">
        <v>39</v>
      </c>
      <c r="C708" t="s">
        <v>37</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37</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
      <c r="A711">
        <v>23712</v>
      </c>
      <c r="B711" t="s">
        <v>39</v>
      </c>
      <c r="C711" t="s">
        <v>37</v>
      </c>
      <c r="D711" s="1">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37</v>
      </c>
      <c r="D713" s="1">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37</v>
      </c>
      <c r="D714" s="1">
        <v>40000</v>
      </c>
      <c r="E714">
        <v>2</v>
      </c>
      <c r="F714" t="s">
        <v>27</v>
      </c>
      <c r="G714" t="s">
        <v>21</v>
      </c>
      <c r="H714" t="s">
        <v>18</v>
      </c>
      <c r="I714">
        <v>2</v>
      </c>
      <c r="J714" t="s">
        <v>22</v>
      </c>
      <c r="K714" t="s">
        <v>32</v>
      </c>
      <c r="L714">
        <v>59</v>
      </c>
      <c r="M714" t="str">
        <f t="shared" si="11"/>
        <v>Old</v>
      </c>
      <c r="N714" t="s">
        <v>18</v>
      </c>
    </row>
    <row r="715" spans="1:14" x14ac:dyDescent="0.2">
      <c r="A715">
        <v>11669</v>
      </c>
      <c r="B715" t="s">
        <v>39</v>
      </c>
      <c r="C715" t="s">
        <v>37</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37</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39</v>
      </c>
      <c r="C718" t="s">
        <v>37</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39</v>
      </c>
      <c r="C719" t="s">
        <v>38</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37</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39</v>
      </c>
      <c r="C722" t="s">
        <v>37</v>
      </c>
      <c r="D722" s="1">
        <v>40000</v>
      </c>
      <c r="E722">
        <v>5</v>
      </c>
      <c r="F722" t="s">
        <v>27</v>
      </c>
      <c r="G722" t="s">
        <v>21</v>
      </c>
      <c r="H722" t="s">
        <v>18</v>
      </c>
      <c r="I722">
        <v>3</v>
      </c>
      <c r="J722" t="s">
        <v>22</v>
      </c>
      <c r="K722" t="s">
        <v>32</v>
      </c>
      <c r="L722">
        <v>60</v>
      </c>
      <c r="M722" t="str">
        <f t="shared" si="11"/>
        <v>Old</v>
      </c>
      <c r="N722" t="s">
        <v>15</v>
      </c>
    </row>
    <row r="723" spans="1:14" x14ac:dyDescent="0.2">
      <c r="A723">
        <v>13287</v>
      </c>
      <c r="B723" t="s">
        <v>39</v>
      </c>
      <c r="C723" t="s">
        <v>38</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39</v>
      </c>
      <c r="C724" t="s">
        <v>37</v>
      </c>
      <c r="D724" s="1">
        <v>70000</v>
      </c>
      <c r="E724">
        <v>3</v>
      </c>
      <c r="F724" t="s">
        <v>31</v>
      </c>
      <c r="G724" t="s">
        <v>28</v>
      </c>
      <c r="H724" t="s">
        <v>18</v>
      </c>
      <c r="I724">
        <v>2</v>
      </c>
      <c r="J724" t="s">
        <v>26</v>
      </c>
      <c r="K724" t="s">
        <v>32</v>
      </c>
      <c r="L724">
        <v>53</v>
      </c>
      <c r="M724" t="str">
        <f t="shared" si="11"/>
        <v>Middle Age</v>
      </c>
      <c r="N724" t="s">
        <v>18</v>
      </c>
    </row>
    <row r="725" spans="1:14" x14ac:dyDescent="0.2">
      <c r="A725">
        <v>26678</v>
      </c>
      <c r="B725" t="s">
        <v>39</v>
      </c>
      <c r="C725" t="s">
        <v>37</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37</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39</v>
      </c>
      <c r="C732" t="s">
        <v>37</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39</v>
      </c>
      <c r="C734" t="s">
        <v>37</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39</v>
      </c>
      <c r="C735" t="s">
        <v>38</v>
      </c>
      <c r="D735" s="1">
        <v>130000</v>
      </c>
      <c r="E735">
        <v>1</v>
      </c>
      <c r="F735" t="s">
        <v>13</v>
      </c>
      <c r="G735" t="s">
        <v>28</v>
      </c>
      <c r="H735" t="s">
        <v>18</v>
      </c>
      <c r="I735">
        <v>4</v>
      </c>
      <c r="J735" t="s">
        <v>16</v>
      </c>
      <c r="K735" t="s">
        <v>32</v>
      </c>
      <c r="L735">
        <v>44</v>
      </c>
      <c r="M735" t="str">
        <f t="shared" si="11"/>
        <v>Middle Age</v>
      </c>
      <c r="N735" t="s">
        <v>18</v>
      </c>
    </row>
    <row r="736" spans="1:14" x14ac:dyDescent="0.2">
      <c r="A736">
        <v>16867</v>
      </c>
      <c r="B736" t="s">
        <v>39</v>
      </c>
      <c r="C736" t="s">
        <v>37</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39</v>
      </c>
      <c r="C737" t="s">
        <v>37</v>
      </c>
      <c r="D737" s="1">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39</v>
      </c>
      <c r="C740" t="s">
        <v>37</v>
      </c>
      <c r="D740" s="1">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37</v>
      </c>
      <c r="D741" s="1">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37</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39</v>
      </c>
      <c r="C744" t="s">
        <v>38</v>
      </c>
      <c r="D744" s="1">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37</v>
      </c>
      <c r="D746" s="1">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37</v>
      </c>
      <c r="D748" s="1">
        <v>60000</v>
      </c>
      <c r="E748">
        <v>2</v>
      </c>
      <c r="F748" t="s">
        <v>13</v>
      </c>
      <c r="G748" t="s">
        <v>28</v>
      </c>
      <c r="H748" t="s">
        <v>15</v>
      </c>
      <c r="I748">
        <v>0</v>
      </c>
      <c r="J748" t="s">
        <v>46</v>
      </c>
      <c r="K748" t="s">
        <v>32</v>
      </c>
      <c r="L748">
        <v>56</v>
      </c>
      <c r="M748" t="str">
        <f t="shared" si="11"/>
        <v>Old</v>
      </c>
      <c r="N748" t="s">
        <v>18</v>
      </c>
    </row>
    <row r="749" spans="1:14" x14ac:dyDescent="0.2">
      <c r="A749">
        <v>12957</v>
      </c>
      <c r="B749" t="s">
        <v>39</v>
      </c>
      <c r="C749" t="s">
        <v>37</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37</v>
      </c>
      <c r="D751" s="1">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39</v>
      </c>
      <c r="C755" t="s">
        <v>37</v>
      </c>
      <c r="D755" s="1">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37</v>
      </c>
      <c r="D756" s="1">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39</v>
      </c>
      <c r="C759" t="s">
        <v>38</v>
      </c>
      <c r="D759" s="1">
        <v>30000</v>
      </c>
      <c r="E759">
        <v>1</v>
      </c>
      <c r="F759" t="s">
        <v>27</v>
      </c>
      <c r="G759" t="s">
        <v>20</v>
      </c>
      <c r="H759" t="s">
        <v>15</v>
      </c>
      <c r="I759">
        <v>2</v>
      </c>
      <c r="J759" t="s">
        <v>26</v>
      </c>
      <c r="K759" t="s">
        <v>32</v>
      </c>
      <c r="L759">
        <v>51</v>
      </c>
      <c r="M759" t="str">
        <f t="shared" si="11"/>
        <v>Middle Age</v>
      </c>
      <c r="N759" t="s">
        <v>15</v>
      </c>
    </row>
    <row r="760" spans="1:14" x14ac:dyDescent="0.2">
      <c r="A760">
        <v>21714</v>
      </c>
      <c r="B760" t="s">
        <v>39</v>
      </c>
      <c r="C760" t="s">
        <v>37</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39</v>
      </c>
      <c r="C761" t="s">
        <v>37</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39</v>
      </c>
      <c r="C762" t="s">
        <v>38</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37</v>
      </c>
      <c r="D763" s="1">
        <v>60000</v>
      </c>
      <c r="E763">
        <v>5</v>
      </c>
      <c r="F763" t="s">
        <v>13</v>
      </c>
      <c r="G763" t="s">
        <v>28</v>
      </c>
      <c r="H763" t="s">
        <v>15</v>
      </c>
      <c r="I763">
        <v>3</v>
      </c>
      <c r="J763" t="s">
        <v>46</v>
      </c>
      <c r="K763" t="s">
        <v>32</v>
      </c>
      <c r="L763">
        <v>59</v>
      </c>
      <c r="M763" t="str">
        <f t="shared" si="11"/>
        <v>Old</v>
      </c>
      <c r="N763" t="s">
        <v>18</v>
      </c>
    </row>
    <row r="764" spans="1:14" x14ac:dyDescent="0.2">
      <c r="A764">
        <v>20657</v>
      </c>
      <c r="B764" t="s">
        <v>39</v>
      </c>
      <c r="C764" t="s">
        <v>38</v>
      </c>
      <c r="D764" s="1">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37</v>
      </c>
      <c r="D766" s="1">
        <v>60000</v>
      </c>
      <c r="E766">
        <v>0</v>
      </c>
      <c r="F766" t="s">
        <v>19</v>
      </c>
      <c r="G766" t="s">
        <v>14</v>
      </c>
      <c r="H766" t="s">
        <v>18</v>
      </c>
      <c r="I766">
        <v>1</v>
      </c>
      <c r="J766" t="s">
        <v>26</v>
      </c>
      <c r="K766" t="s">
        <v>32</v>
      </c>
      <c r="L766">
        <v>27</v>
      </c>
      <c r="M766" t="str">
        <f t="shared" si="11"/>
        <v>Adolescent</v>
      </c>
      <c r="N766" t="s">
        <v>18</v>
      </c>
    </row>
    <row r="767" spans="1:14" x14ac:dyDescent="0.2">
      <c r="A767">
        <v>16753</v>
      </c>
      <c r="B767" t="s">
        <v>39</v>
      </c>
      <c r="C767" t="s">
        <v>37</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37</v>
      </c>
      <c r="D769" s="1">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37</v>
      </c>
      <c r="D770" s="1">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37</v>
      </c>
      <c r="D771" s="1">
        <v>100000</v>
      </c>
      <c r="E771">
        <v>4</v>
      </c>
      <c r="F771" t="s">
        <v>13</v>
      </c>
      <c r="G771" t="s">
        <v>28</v>
      </c>
      <c r="H771" t="s">
        <v>15</v>
      </c>
      <c r="I771">
        <v>4</v>
      </c>
      <c r="J771" t="s">
        <v>16</v>
      </c>
      <c r="K771" t="s">
        <v>32</v>
      </c>
      <c r="L771">
        <v>40</v>
      </c>
      <c r="M771" t="str">
        <f t="shared" ref="M771:M834" si="12">IF(L771&gt;54, "Old",IF(L771&gt;=31, "Middle Age",IF(L771&lt;31, "Adolescent","Invalid")))</f>
        <v>Middle Age</v>
      </c>
      <c r="N771" t="s">
        <v>18</v>
      </c>
    </row>
    <row r="772" spans="1:14" x14ac:dyDescent="0.2">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39</v>
      </c>
      <c r="C774" t="s">
        <v>38</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37</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37</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
      <c r="A778">
        <v>26490</v>
      </c>
      <c r="B778" t="s">
        <v>39</v>
      </c>
      <c r="C778" t="s">
        <v>38</v>
      </c>
      <c r="D778" s="1">
        <v>70000</v>
      </c>
      <c r="E778">
        <v>2</v>
      </c>
      <c r="F778" t="s">
        <v>13</v>
      </c>
      <c r="G778" t="s">
        <v>28</v>
      </c>
      <c r="H778" t="s">
        <v>18</v>
      </c>
      <c r="I778">
        <v>1</v>
      </c>
      <c r="J778" t="s">
        <v>22</v>
      </c>
      <c r="K778" t="s">
        <v>32</v>
      </c>
      <c r="L778">
        <v>59</v>
      </c>
      <c r="M778" t="str">
        <f t="shared" si="12"/>
        <v>Old</v>
      </c>
      <c r="N778" t="s">
        <v>15</v>
      </c>
    </row>
    <row r="779" spans="1:14" x14ac:dyDescent="0.2">
      <c r="A779">
        <v>13151</v>
      </c>
      <c r="B779" t="s">
        <v>39</v>
      </c>
      <c r="C779" t="s">
        <v>38</v>
      </c>
      <c r="D779" s="1">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37</v>
      </c>
      <c r="D782" s="1">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39</v>
      </c>
      <c r="C784" t="s">
        <v>38</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
      <c r="A786">
        <v>20076</v>
      </c>
      <c r="B786" t="s">
        <v>39</v>
      </c>
      <c r="C786" t="s">
        <v>37</v>
      </c>
      <c r="D786" s="1">
        <v>10000</v>
      </c>
      <c r="E786">
        <v>2</v>
      </c>
      <c r="F786" t="s">
        <v>27</v>
      </c>
      <c r="G786" t="s">
        <v>25</v>
      </c>
      <c r="H786" t="s">
        <v>15</v>
      </c>
      <c r="I786">
        <v>2</v>
      </c>
      <c r="J786" t="s">
        <v>26</v>
      </c>
      <c r="K786" t="s">
        <v>32</v>
      </c>
      <c r="L786">
        <v>53</v>
      </c>
      <c r="M786" t="str">
        <f t="shared" si="12"/>
        <v>Middle Age</v>
      </c>
      <c r="N786" t="s">
        <v>15</v>
      </c>
    </row>
    <row r="787" spans="1:14" x14ac:dyDescent="0.2">
      <c r="A787">
        <v>24496</v>
      </c>
      <c r="B787" t="s">
        <v>39</v>
      </c>
      <c r="C787" t="s">
        <v>37</v>
      </c>
      <c r="D787" s="1">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37</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39</v>
      </c>
      <c r="C789" t="s">
        <v>37</v>
      </c>
      <c r="D789" s="1">
        <v>70000</v>
      </c>
      <c r="E789">
        <v>2</v>
      </c>
      <c r="F789" t="s">
        <v>13</v>
      </c>
      <c r="G789" t="s">
        <v>28</v>
      </c>
      <c r="H789" t="s">
        <v>18</v>
      </c>
      <c r="I789">
        <v>1</v>
      </c>
      <c r="J789" t="s">
        <v>22</v>
      </c>
      <c r="K789" t="s">
        <v>32</v>
      </c>
      <c r="L789">
        <v>59</v>
      </c>
      <c r="M789" t="str">
        <f t="shared" si="12"/>
        <v>Old</v>
      </c>
      <c r="N789" t="s">
        <v>15</v>
      </c>
    </row>
    <row r="790" spans="1:14" x14ac:dyDescent="0.2">
      <c r="A790">
        <v>26270</v>
      </c>
      <c r="B790" t="s">
        <v>39</v>
      </c>
      <c r="C790" t="s">
        <v>37</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
      <c r="A792">
        <v>28228</v>
      </c>
      <c r="B792" t="s">
        <v>39</v>
      </c>
      <c r="C792" t="s">
        <v>37</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
      <c r="A794">
        <v>23256</v>
      </c>
      <c r="B794" t="s">
        <v>39</v>
      </c>
      <c r="C794" t="s">
        <v>38</v>
      </c>
      <c r="D794" s="1">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
      <c r="A797">
        <v>21306</v>
      </c>
      <c r="B797" t="s">
        <v>39</v>
      </c>
      <c r="C797" t="s">
        <v>38</v>
      </c>
      <c r="D797" s="1">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
      <c r="A799">
        <v>20310</v>
      </c>
      <c r="B799" t="s">
        <v>39</v>
      </c>
      <c r="C799" t="s">
        <v>38</v>
      </c>
      <c r="D799" s="1">
        <v>60000</v>
      </c>
      <c r="E799">
        <v>0</v>
      </c>
      <c r="F799" t="s">
        <v>19</v>
      </c>
      <c r="G799" t="s">
        <v>14</v>
      </c>
      <c r="H799" t="s">
        <v>15</v>
      </c>
      <c r="I799">
        <v>1</v>
      </c>
      <c r="J799" t="s">
        <v>23</v>
      </c>
      <c r="K799" t="s">
        <v>32</v>
      </c>
      <c r="L799">
        <v>27</v>
      </c>
      <c r="M799" t="str">
        <f t="shared" si="12"/>
        <v>Adolescent</v>
      </c>
      <c r="N799" t="s">
        <v>15</v>
      </c>
    </row>
    <row r="800" spans="1:14" x14ac:dyDescent="0.2">
      <c r="A800">
        <v>22971</v>
      </c>
      <c r="B800" t="s">
        <v>39</v>
      </c>
      <c r="C800" t="s">
        <v>37</v>
      </c>
      <c r="D800" s="1">
        <v>30000</v>
      </c>
      <c r="E800">
        <v>0</v>
      </c>
      <c r="F800" t="s">
        <v>27</v>
      </c>
      <c r="G800" t="s">
        <v>14</v>
      </c>
      <c r="H800" t="s">
        <v>18</v>
      </c>
      <c r="I800">
        <v>2</v>
      </c>
      <c r="J800" t="s">
        <v>16</v>
      </c>
      <c r="K800" t="s">
        <v>32</v>
      </c>
      <c r="L800">
        <v>25</v>
      </c>
      <c r="M800" t="str">
        <f t="shared" si="12"/>
        <v>Adolescent</v>
      </c>
      <c r="N800" t="s">
        <v>15</v>
      </c>
    </row>
    <row r="801" spans="1:14" x14ac:dyDescent="0.2">
      <c r="A801">
        <v>15287</v>
      </c>
      <c r="B801" t="s">
        <v>39</v>
      </c>
      <c r="C801" t="s">
        <v>37</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39</v>
      </c>
      <c r="C802" t="s">
        <v>38</v>
      </c>
      <c r="D802" s="1">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
      <c r="A807">
        <v>26778</v>
      </c>
      <c r="B807" t="s">
        <v>39</v>
      </c>
      <c r="C807" t="s">
        <v>37</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37</v>
      </c>
      <c r="D808" s="1">
        <v>10000</v>
      </c>
      <c r="E808">
        <v>2</v>
      </c>
      <c r="F808" t="s">
        <v>27</v>
      </c>
      <c r="G808" t="s">
        <v>25</v>
      </c>
      <c r="H808" t="s">
        <v>15</v>
      </c>
      <c r="I808">
        <v>2</v>
      </c>
      <c r="J808" t="s">
        <v>26</v>
      </c>
      <c r="K808" t="s">
        <v>32</v>
      </c>
      <c r="L808">
        <v>53</v>
      </c>
      <c r="M808" t="str">
        <f t="shared" si="12"/>
        <v>Middle Age</v>
      </c>
      <c r="N808" t="s">
        <v>18</v>
      </c>
    </row>
    <row r="809" spans="1:14" x14ac:dyDescent="0.2">
      <c r="A809">
        <v>21417</v>
      </c>
      <c r="B809" t="s">
        <v>39</v>
      </c>
      <c r="C809" t="s">
        <v>37</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39</v>
      </c>
      <c r="C810" t="s">
        <v>38</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37</v>
      </c>
      <c r="D811" s="1">
        <v>40000</v>
      </c>
      <c r="E811">
        <v>4</v>
      </c>
      <c r="F811" t="s">
        <v>27</v>
      </c>
      <c r="G811" t="s">
        <v>21</v>
      </c>
      <c r="H811" t="s">
        <v>15</v>
      </c>
      <c r="I811">
        <v>2</v>
      </c>
      <c r="J811" t="s">
        <v>23</v>
      </c>
      <c r="K811" t="s">
        <v>32</v>
      </c>
      <c r="L811">
        <v>69</v>
      </c>
      <c r="M811" t="str">
        <f t="shared" si="12"/>
        <v>Old</v>
      </c>
      <c r="N811" t="s">
        <v>18</v>
      </c>
    </row>
    <row r="812" spans="1:14" x14ac:dyDescent="0.2">
      <c r="A812">
        <v>20376</v>
      </c>
      <c r="B812" t="s">
        <v>39</v>
      </c>
      <c r="C812" t="s">
        <v>37</v>
      </c>
      <c r="D812" s="1">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39</v>
      </c>
      <c r="C814" t="s">
        <v>37</v>
      </c>
      <c r="D814" s="1">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37</v>
      </c>
      <c r="D815" s="1">
        <v>70000</v>
      </c>
      <c r="E815">
        <v>2</v>
      </c>
      <c r="F815" t="s">
        <v>27</v>
      </c>
      <c r="G815" t="s">
        <v>21</v>
      </c>
      <c r="H815" t="s">
        <v>15</v>
      </c>
      <c r="I815">
        <v>2</v>
      </c>
      <c r="J815" t="s">
        <v>46</v>
      </c>
      <c r="K815" t="s">
        <v>32</v>
      </c>
      <c r="L815">
        <v>53</v>
      </c>
      <c r="M815" t="str">
        <f t="shared" si="12"/>
        <v>Middle Age</v>
      </c>
      <c r="N815" t="s">
        <v>18</v>
      </c>
    </row>
    <row r="816" spans="1:14" x14ac:dyDescent="0.2">
      <c r="A816">
        <v>13351</v>
      </c>
      <c r="B816" t="s">
        <v>39</v>
      </c>
      <c r="C816" t="s">
        <v>37</v>
      </c>
      <c r="D816" s="1">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37</v>
      </c>
      <c r="D818" s="1">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37</v>
      </c>
      <c r="D819" s="1">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
      <c r="A821">
        <v>27505</v>
      </c>
      <c r="B821" t="s">
        <v>39</v>
      </c>
      <c r="C821" t="s">
        <v>37</v>
      </c>
      <c r="D821" s="1">
        <v>40000</v>
      </c>
      <c r="E821">
        <v>0</v>
      </c>
      <c r="F821" t="s">
        <v>27</v>
      </c>
      <c r="G821" t="s">
        <v>14</v>
      </c>
      <c r="H821" t="s">
        <v>15</v>
      </c>
      <c r="I821">
        <v>2</v>
      </c>
      <c r="J821" t="s">
        <v>23</v>
      </c>
      <c r="K821" t="s">
        <v>32</v>
      </c>
      <c r="L821">
        <v>30</v>
      </c>
      <c r="M821" t="str">
        <f t="shared" si="12"/>
        <v>Adolescent</v>
      </c>
      <c r="N821" t="s">
        <v>18</v>
      </c>
    </row>
    <row r="822" spans="1:14" x14ac:dyDescent="0.2">
      <c r="A822">
        <v>29243</v>
      </c>
      <c r="B822" t="s">
        <v>39</v>
      </c>
      <c r="C822" t="s">
        <v>38</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39</v>
      </c>
      <c r="C825" t="s">
        <v>37</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39</v>
      </c>
      <c r="C826" t="s">
        <v>38</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
      <c r="A829">
        <v>13911</v>
      </c>
      <c r="B829" t="s">
        <v>39</v>
      </c>
      <c r="C829" t="s">
        <v>37</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39</v>
      </c>
      <c r="C830" t="s">
        <v>37</v>
      </c>
      <c r="D830" s="1">
        <v>40000</v>
      </c>
      <c r="E830">
        <v>0</v>
      </c>
      <c r="F830" t="s">
        <v>29</v>
      </c>
      <c r="G830" t="s">
        <v>20</v>
      </c>
      <c r="H830" t="s">
        <v>15</v>
      </c>
      <c r="I830">
        <v>2</v>
      </c>
      <c r="J830" t="s">
        <v>23</v>
      </c>
      <c r="K830" t="s">
        <v>32</v>
      </c>
      <c r="L830">
        <v>26</v>
      </c>
      <c r="M830" t="str">
        <f t="shared" si="12"/>
        <v>Adolescent</v>
      </c>
      <c r="N830" t="s">
        <v>18</v>
      </c>
    </row>
    <row r="831" spans="1:14" x14ac:dyDescent="0.2">
      <c r="A831">
        <v>16009</v>
      </c>
      <c r="B831" t="s">
        <v>39</v>
      </c>
      <c r="C831" t="s">
        <v>38</v>
      </c>
      <c r="D831" s="1">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37</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37</v>
      </c>
      <c r="D834" s="1">
        <v>60000</v>
      </c>
      <c r="E834">
        <v>0</v>
      </c>
      <c r="F834" t="s">
        <v>31</v>
      </c>
      <c r="G834" t="s">
        <v>21</v>
      </c>
      <c r="H834" t="s">
        <v>15</v>
      </c>
      <c r="I834">
        <v>0</v>
      </c>
      <c r="J834" t="s">
        <v>16</v>
      </c>
      <c r="K834" t="s">
        <v>32</v>
      </c>
      <c r="L834">
        <v>39</v>
      </c>
      <c r="M834" t="str">
        <f t="shared" si="12"/>
        <v>Middle Age</v>
      </c>
      <c r="N834" t="s">
        <v>18</v>
      </c>
    </row>
    <row r="835" spans="1:14" x14ac:dyDescent="0.2">
      <c r="A835">
        <v>27540</v>
      </c>
      <c r="B835" t="s">
        <v>39</v>
      </c>
      <c r="C835" t="s">
        <v>37</v>
      </c>
      <c r="D835" s="1">
        <v>70000</v>
      </c>
      <c r="E835">
        <v>0</v>
      </c>
      <c r="F835" t="s">
        <v>13</v>
      </c>
      <c r="G835" t="s">
        <v>21</v>
      </c>
      <c r="H835" t="s">
        <v>18</v>
      </c>
      <c r="I835">
        <v>1</v>
      </c>
      <c r="J835" t="s">
        <v>16</v>
      </c>
      <c r="K835" t="s">
        <v>32</v>
      </c>
      <c r="L835">
        <v>37</v>
      </c>
      <c r="M835" t="str">
        <f t="shared" ref="M835:M898" si="13">IF(L835&gt;54, "Old",IF(L835&gt;=31, "Middle Age",IF(L835&lt;31, "Adolescent","Invalid")))</f>
        <v>Middle Age</v>
      </c>
      <c r="N835" t="s">
        <v>15</v>
      </c>
    </row>
    <row r="836" spans="1:14" x14ac:dyDescent="0.2">
      <c r="A836">
        <v>19889</v>
      </c>
      <c r="B836" t="s">
        <v>39</v>
      </c>
      <c r="C836" t="s">
        <v>37</v>
      </c>
      <c r="D836" s="1">
        <v>70000</v>
      </c>
      <c r="E836">
        <v>2</v>
      </c>
      <c r="F836" t="s">
        <v>29</v>
      </c>
      <c r="G836" t="s">
        <v>14</v>
      </c>
      <c r="H836" t="s">
        <v>18</v>
      </c>
      <c r="I836">
        <v>2</v>
      </c>
      <c r="J836" t="s">
        <v>22</v>
      </c>
      <c r="K836" t="s">
        <v>32</v>
      </c>
      <c r="L836">
        <v>54</v>
      </c>
      <c r="M836" t="str">
        <f t="shared" si="13"/>
        <v>Middle Age</v>
      </c>
      <c r="N836" t="s">
        <v>15</v>
      </c>
    </row>
    <row r="837" spans="1:14" x14ac:dyDescent="0.2">
      <c r="A837">
        <v>12922</v>
      </c>
      <c r="B837" t="s">
        <v>39</v>
      </c>
      <c r="C837" t="s">
        <v>37</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37</v>
      </c>
      <c r="D838" s="1">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39</v>
      </c>
      <c r="C840" t="s">
        <v>37</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39</v>
      </c>
      <c r="C841" t="s">
        <v>37</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37</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39</v>
      </c>
      <c r="C845" t="s">
        <v>38</v>
      </c>
      <c r="D845" s="1">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37</v>
      </c>
      <c r="D846" s="1">
        <v>40000</v>
      </c>
      <c r="E846">
        <v>5</v>
      </c>
      <c r="F846" t="s">
        <v>27</v>
      </c>
      <c r="G846" t="s">
        <v>21</v>
      </c>
      <c r="H846" t="s">
        <v>15</v>
      </c>
      <c r="I846">
        <v>2</v>
      </c>
      <c r="J846" t="s">
        <v>46</v>
      </c>
      <c r="K846" t="s">
        <v>32</v>
      </c>
      <c r="L846">
        <v>60</v>
      </c>
      <c r="M846" t="str">
        <f t="shared" si="13"/>
        <v>Old</v>
      </c>
      <c r="N846" t="s">
        <v>18</v>
      </c>
    </row>
    <row r="847" spans="1:14" x14ac:dyDescent="0.2">
      <c r="A847">
        <v>25343</v>
      </c>
      <c r="B847" t="s">
        <v>39</v>
      </c>
      <c r="C847" t="s">
        <v>37</v>
      </c>
      <c r="D847" s="1">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37</v>
      </c>
      <c r="D848" s="1">
        <v>70000</v>
      </c>
      <c r="E848">
        <v>4</v>
      </c>
      <c r="F848" t="s">
        <v>19</v>
      </c>
      <c r="G848" t="s">
        <v>21</v>
      </c>
      <c r="H848" t="s">
        <v>18</v>
      </c>
      <c r="I848">
        <v>1</v>
      </c>
      <c r="J848" t="s">
        <v>26</v>
      </c>
      <c r="K848" t="s">
        <v>32</v>
      </c>
      <c r="L848">
        <v>56</v>
      </c>
      <c r="M848" t="str">
        <f t="shared" si="13"/>
        <v>Old</v>
      </c>
      <c r="N848" t="s">
        <v>18</v>
      </c>
    </row>
    <row r="849" spans="1:14" x14ac:dyDescent="0.2">
      <c r="A849">
        <v>17482</v>
      </c>
      <c r="B849" t="s">
        <v>39</v>
      </c>
      <c r="C849" t="s">
        <v>37</v>
      </c>
      <c r="D849" s="1">
        <v>40000</v>
      </c>
      <c r="E849">
        <v>0</v>
      </c>
      <c r="F849" t="s">
        <v>29</v>
      </c>
      <c r="G849" t="s">
        <v>20</v>
      </c>
      <c r="H849" t="s">
        <v>15</v>
      </c>
      <c r="I849">
        <v>2</v>
      </c>
      <c r="J849" t="s">
        <v>23</v>
      </c>
      <c r="K849" t="s">
        <v>32</v>
      </c>
      <c r="L849">
        <v>29</v>
      </c>
      <c r="M849" t="str">
        <f t="shared" si="13"/>
        <v>Adolescent</v>
      </c>
      <c r="N849" t="s">
        <v>18</v>
      </c>
    </row>
    <row r="850" spans="1:14" x14ac:dyDescent="0.2">
      <c r="A850">
        <v>13176</v>
      </c>
      <c r="B850" t="s">
        <v>39</v>
      </c>
      <c r="C850" t="s">
        <v>38</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37</v>
      </c>
      <c r="D851" s="1">
        <v>40000</v>
      </c>
      <c r="E851">
        <v>5</v>
      </c>
      <c r="F851" t="s">
        <v>27</v>
      </c>
      <c r="G851" t="s">
        <v>21</v>
      </c>
      <c r="H851" t="s">
        <v>18</v>
      </c>
      <c r="I851">
        <v>2</v>
      </c>
      <c r="J851" t="s">
        <v>22</v>
      </c>
      <c r="K851" t="s">
        <v>32</v>
      </c>
      <c r="L851">
        <v>60</v>
      </c>
      <c r="M851" t="str">
        <f t="shared" si="13"/>
        <v>Old</v>
      </c>
      <c r="N851" t="s">
        <v>18</v>
      </c>
    </row>
    <row r="852" spans="1:14" x14ac:dyDescent="0.2">
      <c r="A852">
        <v>12205</v>
      </c>
      <c r="B852" t="s">
        <v>39</v>
      </c>
      <c r="C852" t="s">
        <v>37</v>
      </c>
      <c r="D852" s="1">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39</v>
      </c>
      <c r="C854" t="s">
        <v>38</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39</v>
      </c>
      <c r="C855" t="s">
        <v>38</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37</v>
      </c>
      <c r="D856" s="1">
        <v>60000</v>
      </c>
      <c r="E856">
        <v>0</v>
      </c>
      <c r="F856" t="s">
        <v>19</v>
      </c>
      <c r="G856" t="s">
        <v>21</v>
      </c>
      <c r="H856" t="s">
        <v>15</v>
      </c>
      <c r="I856">
        <v>2</v>
      </c>
      <c r="J856" t="s">
        <v>23</v>
      </c>
      <c r="K856" t="s">
        <v>32</v>
      </c>
      <c r="L856">
        <v>32</v>
      </c>
      <c r="M856" t="str">
        <f t="shared" si="13"/>
        <v>Middle Age</v>
      </c>
      <c r="N856" t="s">
        <v>18</v>
      </c>
    </row>
    <row r="857" spans="1:14" x14ac:dyDescent="0.2">
      <c r="A857">
        <v>18347</v>
      </c>
      <c r="B857" t="s">
        <v>39</v>
      </c>
      <c r="C857" t="s">
        <v>37</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39</v>
      </c>
      <c r="C858" t="s">
        <v>38</v>
      </c>
      <c r="D858" s="1">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37</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39</v>
      </c>
      <c r="C862" t="s">
        <v>38</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37</v>
      </c>
      <c r="D863" s="1">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39</v>
      </c>
      <c r="C865" t="s">
        <v>38</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39</v>
      </c>
      <c r="C866" t="s">
        <v>38</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39</v>
      </c>
      <c r="C867" t="s">
        <v>37</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39</v>
      </c>
      <c r="C870" t="s">
        <v>38</v>
      </c>
      <c r="D870" s="1">
        <v>30000</v>
      </c>
      <c r="E870">
        <v>5</v>
      </c>
      <c r="F870" t="s">
        <v>29</v>
      </c>
      <c r="G870" t="s">
        <v>14</v>
      </c>
      <c r="H870" t="s">
        <v>15</v>
      </c>
      <c r="I870">
        <v>3</v>
      </c>
      <c r="J870" t="s">
        <v>46</v>
      </c>
      <c r="K870" t="s">
        <v>32</v>
      </c>
      <c r="L870">
        <v>60</v>
      </c>
      <c r="M870" t="str">
        <f t="shared" si="13"/>
        <v>Old</v>
      </c>
      <c r="N870" t="s">
        <v>15</v>
      </c>
    </row>
    <row r="871" spans="1:14" x14ac:dyDescent="0.2">
      <c r="A871">
        <v>26065</v>
      </c>
      <c r="B871" t="s">
        <v>39</v>
      </c>
      <c r="C871" t="s">
        <v>37</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
      <c r="A874">
        <v>22118</v>
      </c>
      <c r="B874" t="s">
        <v>39</v>
      </c>
      <c r="C874" t="s">
        <v>37</v>
      </c>
      <c r="D874" s="1">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37</v>
      </c>
      <c r="D876" s="1">
        <v>30000</v>
      </c>
      <c r="E876">
        <v>1</v>
      </c>
      <c r="F876" t="s">
        <v>13</v>
      </c>
      <c r="G876" t="s">
        <v>14</v>
      </c>
      <c r="H876" t="s">
        <v>15</v>
      </c>
      <c r="I876">
        <v>1</v>
      </c>
      <c r="J876" t="s">
        <v>23</v>
      </c>
      <c r="K876" t="s">
        <v>32</v>
      </c>
      <c r="L876">
        <v>53</v>
      </c>
      <c r="M876" t="str">
        <f t="shared" si="13"/>
        <v>Middle Age</v>
      </c>
      <c r="N876" t="s">
        <v>15</v>
      </c>
    </row>
    <row r="877" spans="1:14" x14ac:dyDescent="0.2">
      <c r="A877">
        <v>27279</v>
      </c>
      <c r="B877" t="s">
        <v>39</v>
      </c>
      <c r="C877" t="s">
        <v>37</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39</v>
      </c>
      <c r="C878" t="s">
        <v>38</v>
      </c>
      <c r="D878" s="1">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37</v>
      </c>
      <c r="D883" s="1">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37</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37</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39</v>
      </c>
      <c r="C890" t="s">
        <v>37</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37</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37</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39</v>
      </c>
      <c r="C893" t="s">
        <v>38</v>
      </c>
      <c r="D893" s="1">
        <v>100000</v>
      </c>
      <c r="E893">
        <v>1</v>
      </c>
      <c r="F893" t="s">
        <v>31</v>
      </c>
      <c r="G893" t="s">
        <v>28</v>
      </c>
      <c r="H893" t="s">
        <v>15</v>
      </c>
      <c r="I893">
        <v>3</v>
      </c>
      <c r="J893" t="s">
        <v>22</v>
      </c>
      <c r="K893" t="s">
        <v>32</v>
      </c>
      <c r="L893">
        <v>73</v>
      </c>
      <c r="M893" t="str">
        <f t="shared" si="13"/>
        <v>Old</v>
      </c>
      <c r="N893" t="s">
        <v>15</v>
      </c>
    </row>
    <row r="894" spans="1:14" x14ac:dyDescent="0.2">
      <c r="A894">
        <v>17000</v>
      </c>
      <c r="B894" t="s">
        <v>39</v>
      </c>
      <c r="C894" t="s">
        <v>37</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37</v>
      </c>
      <c r="D897" s="1">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37</v>
      </c>
      <c r="D898" s="1">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1">
        <v>30000</v>
      </c>
      <c r="E899">
        <v>0</v>
      </c>
      <c r="F899" t="s">
        <v>29</v>
      </c>
      <c r="G899" t="s">
        <v>20</v>
      </c>
      <c r="H899" t="s">
        <v>18</v>
      </c>
      <c r="I899">
        <v>2</v>
      </c>
      <c r="J899" t="s">
        <v>16</v>
      </c>
      <c r="K899" t="s">
        <v>32</v>
      </c>
      <c r="L899">
        <v>28</v>
      </c>
      <c r="M899" t="str">
        <f t="shared" ref="M899:M962" si="14">IF(L899&gt;54, "Old",IF(L899&gt;=31, "Middle Age",IF(L899&lt;31, "Adolescent","Invalid")))</f>
        <v>Adolescent</v>
      </c>
      <c r="N899" t="s">
        <v>18</v>
      </c>
    </row>
    <row r="900" spans="1:14" x14ac:dyDescent="0.2">
      <c r="A900">
        <v>18066</v>
      </c>
      <c r="B900" t="s">
        <v>39</v>
      </c>
      <c r="C900" t="s">
        <v>38</v>
      </c>
      <c r="D900" s="1">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37</v>
      </c>
      <c r="D901" s="1">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39</v>
      </c>
      <c r="C903" t="s">
        <v>37</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39</v>
      </c>
      <c r="C904" t="s">
        <v>38</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39</v>
      </c>
      <c r="C905" t="s">
        <v>38</v>
      </c>
      <c r="D905" s="1">
        <v>90000</v>
      </c>
      <c r="E905">
        <v>4</v>
      </c>
      <c r="F905" t="s">
        <v>31</v>
      </c>
      <c r="G905" t="s">
        <v>28</v>
      </c>
      <c r="H905" t="s">
        <v>15</v>
      </c>
      <c r="I905">
        <v>1</v>
      </c>
      <c r="J905" t="s">
        <v>23</v>
      </c>
      <c r="K905" t="s">
        <v>32</v>
      </c>
      <c r="L905">
        <v>73</v>
      </c>
      <c r="M905" t="str">
        <f t="shared" si="14"/>
        <v>Old</v>
      </c>
      <c r="N905" t="s">
        <v>18</v>
      </c>
    </row>
    <row r="906" spans="1:14" x14ac:dyDescent="0.2">
      <c r="A906">
        <v>26305</v>
      </c>
      <c r="B906" t="s">
        <v>39</v>
      </c>
      <c r="C906" t="s">
        <v>37</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39</v>
      </c>
      <c r="C907" t="s">
        <v>38</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
      <c r="A910">
        <v>23195</v>
      </c>
      <c r="B910" t="s">
        <v>39</v>
      </c>
      <c r="C910" t="s">
        <v>38</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37</v>
      </c>
      <c r="D913" s="1">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37</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39</v>
      </c>
      <c r="C915" t="s">
        <v>38</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39</v>
      </c>
      <c r="C916" t="s">
        <v>38</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
      <c r="A918">
        <v>27273</v>
      </c>
      <c r="B918" t="s">
        <v>39</v>
      </c>
      <c r="C918" t="s">
        <v>38</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39</v>
      </c>
      <c r="C919" t="s">
        <v>38</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37</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37</v>
      </c>
      <c r="D921" s="1">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
      <c r="A923">
        <v>12153</v>
      </c>
      <c r="B923" t="s">
        <v>39</v>
      </c>
      <c r="C923" t="s">
        <v>37</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37</v>
      </c>
      <c r="D924" s="1">
        <v>40000</v>
      </c>
      <c r="E924">
        <v>3</v>
      </c>
      <c r="F924" t="s">
        <v>19</v>
      </c>
      <c r="G924" t="s">
        <v>21</v>
      </c>
      <c r="H924" t="s">
        <v>18</v>
      </c>
      <c r="I924">
        <v>2</v>
      </c>
      <c r="J924" t="s">
        <v>26</v>
      </c>
      <c r="K924" t="s">
        <v>32</v>
      </c>
      <c r="L924">
        <v>54</v>
      </c>
      <c r="M924" t="str">
        <f t="shared" si="14"/>
        <v>Middle Age</v>
      </c>
      <c r="N924" t="s">
        <v>15</v>
      </c>
    </row>
    <row r="925" spans="1:14" x14ac:dyDescent="0.2">
      <c r="A925">
        <v>26728</v>
      </c>
      <c r="B925" t="s">
        <v>39</v>
      </c>
      <c r="C925" t="s">
        <v>38</v>
      </c>
      <c r="D925" s="1">
        <v>70000</v>
      </c>
      <c r="E925">
        <v>3</v>
      </c>
      <c r="F925" t="s">
        <v>31</v>
      </c>
      <c r="G925" t="s">
        <v>28</v>
      </c>
      <c r="H925" t="s">
        <v>18</v>
      </c>
      <c r="I925">
        <v>2</v>
      </c>
      <c r="J925" t="s">
        <v>26</v>
      </c>
      <c r="K925" t="s">
        <v>32</v>
      </c>
      <c r="L925">
        <v>53</v>
      </c>
      <c r="M925" t="str">
        <f t="shared" si="14"/>
        <v>Middle Age</v>
      </c>
      <c r="N925" t="s">
        <v>15</v>
      </c>
    </row>
    <row r="926" spans="1:14" x14ac:dyDescent="0.2">
      <c r="A926">
        <v>11090</v>
      </c>
      <c r="B926" t="s">
        <v>39</v>
      </c>
      <c r="C926" t="s">
        <v>38</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39</v>
      </c>
      <c r="C927" t="s">
        <v>37</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39</v>
      </c>
      <c r="C928" t="s">
        <v>37</v>
      </c>
      <c r="D928" s="1">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37</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37</v>
      </c>
      <c r="D933" s="1">
        <v>40000</v>
      </c>
      <c r="E933">
        <v>1</v>
      </c>
      <c r="F933" t="s">
        <v>19</v>
      </c>
      <c r="G933" t="s">
        <v>20</v>
      </c>
      <c r="H933" t="s">
        <v>15</v>
      </c>
      <c r="I933">
        <v>1</v>
      </c>
      <c r="J933" t="s">
        <v>26</v>
      </c>
      <c r="K933" t="s">
        <v>32</v>
      </c>
      <c r="L933">
        <v>49</v>
      </c>
      <c r="M933" t="str">
        <f t="shared" si="14"/>
        <v>Middle Age</v>
      </c>
      <c r="N933" t="s">
        <v>15</v>
      </c>
    </row>
    <row r="934" spans="1:14" x14ac:dyDescent="0.2">
      <c r="A934">
        <v>12033</v>
      </c>
      <c r="B934" t="s">
        <v>39</v>
      </c>
      <c r="C934" t="s">
        <v>37</v>
      </c>
      <c r="D934" s="1">
        <v>40000</v>
      </c>
      <c r="E934">
        <v>0</v>
      </c>
      <c r="F934" t="s">
        <v>27</v>
      </c>
      <c r="G934" t="s">
        <v>14</v>
      </c>
      <c r="H934" t="s">
        <v>18</v>
      </c>
      <c r="I934">
        <v>2</v>
      </c>
      <c r="J934" t="s">
        <v>16</v>
      </c>
      <c r="K934" t="s">
        <v>32</v>
      </c>
      <c r="L934">
        <v>27</v>
      </c>
      <c r="M934" t="str">
        <f t="shared" si="14"/>
        <v>Adolescent</v>
      </c>
      <c r="N934" t="s">
        <v>15</v>
      </c>
    </row>
    <row r="935" spans="1:14" x14ac:dyDescent="0.2">
      <c r="A935">
        <v>11941</v>
      </c>
      <c r="B935" t="s">
        <v>39</v>
      </c>
      <c r="C935" t="s">
        <v>38</v>
      </c>
      <c r="D935" s="1">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37</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37</v>
      </c>
      <c r="D938" s="1">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37</v>
      </c>
      <c r="D940" s="1">
        <v>40000</v>
      </c>
      <c r="E940">
        <v>0</v>
      </c>
      <c r="F940" t="s">
        <v>27</v>
      </c>
      <c r="G940" t="s">
        <v>14</v>
      </c>
      <c r="H940" t="s">
        <v>15</v>
      </c>
      <c r="I940">
        <v>2</v>
      </c>
      <c r="J940" t="s">
        <v>23</v>
      </c>
      <c r="K940" t="s">
        <v>32</v>
      </c>
      <c r="L940">
        <v>27</v>
      </c>
      <c r="M940" t="str">
        <f t="shared" si="14"/>
        <v>Adolescent</v>
      </c>
      <c r="N940" t="s">
        <v>18</v>
      </c>
    </row>
    <row r="941" spans="1:14" x14ac:dyDescent="0.2">
      <c r="A941">
        <v>23455</v>
      </c>
      <c r="B941" t="s">
        <v>39</v>
      </c>
      <c r="C941" t="s">
        <v>38</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39</v>
      </c>
      <c r="C942" t="s">
        <v>37</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37</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37</v>
      </c>
      <c r="D944" s="1">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37</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37</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39</v>
      </c>
      <c r="C947" t="s">
        <v>38</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37</v>
      </c>
      <c r="D948" s="1">
        <v>90000</v>
      </c>
      <c r="E948">
        <v>5</v>
      </c>
      <c r="F948" t="s">
        <v>13</v>
      </c>
      <c r="G948" t="s">
        <v>28</v>
      </c>
      <c r="H948" t="s">
        <v>15</v>
      </c>
      <c r="I948">
        <v>2</v>
      </c>
      <c r="J948" t="s">
        <v>26</v>
      </c>
      <c r="K948" t="s">
        <v>32</v>
      </c>
      <c r="L948">
        <v>63</v>
      </c>
      <c r="M948" t="str">
        <f t="shared" si="14"/>
        <v>Old</v>
      </c>
      <c r="N948" t="s">
        <v>15</v>
      </c>
    </row>
    <row r="949" spans="1:14" x14ac:dyDescent="0.2">
      <c r="A949">
        <v>11303</v>
      </c>
      <c r="B949" t="s">
        <v>39</v>
      </c>
      <c r="C949" t="s">
        <v>37</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39</v>
      </c>
      <c r="C950" t="s">
        <v>37</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
      <c r="A952">
        <v>11788</v>
      </c>
      <c r="B952" t="s">
        <v>39</v>
      </c>
      <c r="C952" t="s">
        <v>37</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37</v>
      </c>
      <c r="D954" s="1">
        <v>70000</v>
      </c>
      <c r="E954">
        <v>4</v>
      </c>
      <c r="F954" t="s">
        <v>13</v>
      </c>
      <c r="G954" t="s">
        <v>28</v>
      </c>
      <c r="H954" t="s">
        <v>18</v>
      </c>
      <c r="I954">
        <v>1</v>
      </c>
      <c r="J954" t="s">
        <v>26</v>
      </c>
      <c r="K954" t="s">
        <v>32</v>
      </c>
      <c r="L954">
        <v>59</v>
      </c>
      <c r="M954" t="str">
        <f t="shared" si="14"/>
        <v>Old</v>
      </c>
      <c r="N954" t="s">
        <v>18</v>
      </c>
    </row>
    <row r="955" spans="1:14" x14ac:dyDescent="0.2">
      <c r="A955">
        <v>17654</v>
      </c>
      <c r="B955" t="s">
        <v>39</v>
      </c>
      <c r="C955" t="s">
        <v>37</v>
      </c>
      <c r="D955" s="1">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37</v>
      </c>
      <c r="D957" s="1">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37</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37</v>
      </c>
      <c r="D959" s="1">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39</v>
      </c>
      <c r="C962" t="s">
        <v>38</v>
      </c>
      <c r="D962" s="1">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37</v>
      </c>
      <c r="D963" s="1">
        <v>120000</v>
      </c>
      <c r="E963">
        <v>2</v>
      </c>
      <c r="F963" t="s">
        <v>13</v>
      </c>
      <c r="G963" t="s">
        <v>28</v>
      </c>
      <c r="H963" t="s">
        <v>15</v>
      </c>
      <c r="I963">
        <v>3</v>
      </c>
      <c r="J963" t="s">
        <v>23</v>
      </c>
      <c r="K963" t="s">
        <v>32</v>
      </c>
      <c r="L963">
        <v>62</v>
      </c>
      <c r="M963" t="str">
        <f t="shared" ref="M963:M1001" si="15">IF(L963&gt;54, "Old",IF(L963&gt;=31, "Middle Age",IF(L963&lt;31, "Adolescent","Invalid")))</f>
        <v>Old</v>
      </c>
      <c r="N963" t="s">
        <v>18</v>
      </c>
    </row>
    <row r="964" spans="1:14" x14ac:dyDescent="0.2">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37</v>
      </c>
      <c r="D965" s="1">
        <v>90000</v>
      </c>
      <c r="E965">
        <v>5</v>
      </c>
      <c r="F965" t="s">
        <v>13</v>
      </c>
      <c r="G965" t="s">
        <v>28</v>
      </c>
      <c r="H965" t="s">
        <v>15</v>
      </c>
      <c r="I965">
        <v>2</v>
      </c>
      <c r="J965" t="s">
        <v>26</v>
      </c>
      <c r="K965" t="s">
        <v>32</v>
      </c>
      <c r="L965">
        <v>66</v>
      </c>
      <c r="M965" t="str">
        <f t="shared" si="15"/>
        <v>Old</v>
      </c>
      <c r="N965" t="s">
        <v>15</v>
      </c>
    </row>
    <row r="966" spans="1:14" x14ac:dyDescent="0.2">
      <c r="A966">
        <v>27434</v>
      </c>
      <c r="B966" t="s">
        <v>39</v>
      </c>
      <c r="C966" t="s">
        <v>38</v>
      </c>
      <c r="D966" s="1">
        <v>70000</v>
      </c>
      <c r="E966">
        <v>4</v>
      </c>
      <c r="F966" t="s">
        <v>19</v>
      </c>
      <c r="G966" t="s">
        <v>21</v>
      </c>
      <c r="H966" t="s">
        <v>15</v>
      </c>
      <c r="I966">
        <v>1</v>
      </c>
      <c r="J966" t="s">
        <v>46</v>
      </c>
      <c r="K966" t="s">
        <v>32</v>
      </c>
      <c r="L966">
        <v>56</v>
      </c>
      <c r="M966" t="str">
        <f t="shared" si="15"/>
        <v>Old</v>
      </c>
      <c r="N966" t="s">
        <v>18</v>
      </c>
    </row>
    <row r="967" spans="1:14" x14ac:dyDescent="0.2">
      <c r="A967">
        <v>27756</v>
      </c>
      <c r="B967" t="s">
        <v>39</v>
      </c>
      <c r="C967" t="s">
        <v>37</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37</v>
      </c>
      <c r="D968" s="1">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
      <c r="A970">
        <v>18329</v>
      </c>
      <c r="B970" t="s">
        <v>39</v>
      </c>
      <c r="C970" t="s">
        <v>38</v>
      </c>
      <c r="D970" s="1">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37</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39</v>
      </c>
      <c r="C973" t="s">
        <v>37</v>
      </c>
      <c r="D973" s="1">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37</v>
      </c>
      <c r="D974" s="1">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37</v>
      </c>
      <c r="D978" s="1">
        <v>60000</v>
      </c>
      <c r="E978">
        <v>3</v>
      </c>
      <c r="F978" t="s">
        <v>13</v>
      </c>
      <c r="G978" t="s">
        <v>28</v>
      </c>
      <c r="H978" t="s">
        <v>15</v>
      </c>
      <c r="I978">
        <v>2</v>
      </c>
      <c r="J978" t="s">
        <v>46</v>
      </c>
      <c r="K978" t="s">
        <v>32</v>
      </c>
      <c r="L978">
        <v>66</v>
      </c>
      <c r="M978" t="str">
        <f t="shared" si="15"/>
        <v>Old</v>
      </c>
      <c r="N978" t="s">
        <v>18</v>
      </c>
    </row>
    <row r="979" spans="1:14" x14ac:dyDescent="0.2">
      <c r="A979">
        <v>19741</v>
      </c>
      <c r="B979" t="s">
        <v>39</v>
      </c>
      <c r="C979" t="s">
        <v>37</v>
      </c>
      <c r="D979" s="1">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39</v>
      </c>
      <c r="C981" t="s">
        <v>38</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39</v>
      </c>
      <c r="C982" t="s">
        <v>37</v>
      </c>
      <c r="D982" s="1">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39</v>
      </c>
      <c r="C984" t="s">
        <v>38</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39</v>
      </c>
      <c r="C987" t="s">
        <v>37</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39</v>
      </c>
      <c r="C988" t="s">
        <v>38</v>
      </c>
      <c r="D988" s="1">
        <v>40000</v>
      </c>
      <c r="E988">
        <v>5</v>
      </c>
      <c r="F988" t="s">
        <v>27</v>
      </c>
      <c r="G988" t="s">
        <v>21</v>
      </c>
      <c r="H988" t="s">
        <v>15</v>
      </c>
      <c r="I988">
        <v>4</v>
      </c>
      <c r="J988" t="s">
        <v>46</v>
      </c>
      <c r="K988" t="s">
        <v>32</v>
      </c>
      <c r="L988">
        <v>60</v>
      </c>
      <c r="M988" t="str">
        <f t="shared" si="15"/>
        <v>Old</v>
      </c>
      <c r="N988" t="s">
        <v>15</v>
      </c>
    </row>
    <row r="989" spans="1:14" x14ac:dyDescent="0.2">
      <c r="A989">
        <v>28972</v>
      </c>
      <c r="B989" t="s">
        <v>39</v>
      </c>
      <c r="C989" t="s">
        <v>37</v>
      </c>
      <c r="D989" s="1">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
      <c r="A992">
        <v>14332</v>
      </c>
      <c r="B992" t="s">
        <v>39</v>
      </c>
      <c r="C992" t="s">
        <v>37</v>
      </c>
      <c r="D992" s="1">
        <v>30000</v>
      </c>
      <c r="E992">
        <v>0</v>
      </c>
      <c r="F992" t="s">
        <v>27</v>
      </c>
      <c r="G992" t="s">
        <v>14</v>
      </c>
      <c r="H992" t="s">
        <v>18</v>
      </c>
      <c r="I992">
        <v>2</v>
      </c>
      <c r="J992" t="s">
        <v>23</v>
      </c>
      <c r="K992" t="s">
        <v>32</v>
      </c>
      <c r="L992">
        <v>26</v>
      </c>
      <c r="M992" t="str">
        <f t="shared" si="15"/>
        <v>Adolescent</v>
      </c>
      <c r="N992" t="s">
        <v>18</v>
      </c>
    </row>
    <row r="993" spans="1:14" x14ac:dyDescent="0.2">
      <c r="A993">
        <v>19117</v>
      </c>
      <c r="B993" t="s">
        <v>39</v>
      </c>
      <c r="C993" t="s">
        <v>37</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39</v>
      </c>
      <c r="C995" t="s">
        <v>38</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
      <c r="A998">
        <v>28672</v>
      </c>
      <c r="B998" t="s">
        <v>39</v>
      </c>
      <c r="C998" t="s">
        <v>38</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39</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39</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53CA5252-BD2B-7849-873D-993869544FA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BE76-A10C-3F40-820F-2DD328B2EE55}">
  <dimension ref="A3:D61"/>
  <sheetViews>
    <sheetView zoomScale="107" zoomScaleNormal="130" workbookViewId="0">
      <selection activeCell="B59" sqref="B59"/>
    </sheetView>
  </sheetViews>
  <sheetFormatPr baseColWidth="10" defaultRowHeight="15" x14ac:dyDescent="0.2"/>
  <cols>
    <col min="1" max="1" width="19.83203125" bestFit="1" customWidth="1"/>
    <col min="2" max="2" width="14.83203125" bestFit="1" customWidth="1"/>
    <col min="3" max="3" width="36" customWidth="1"/>
    <col min="4" max="4" width="10.1640625" bestFit="1" customWidth="1"/>
  </cols>
  <sheetData>
    <row r="3" spans="1:4" x14ac:dyDescent="0.2">
      <c r="A3" s="3" t="s">
        <v>44</v>
      </c>
      <c r="B3" s="3" t="s">
        <v>12</v>
      </c>
    </row>
    <row r="4" spans="1:4" x14ac:dyDescent="0.2">
      <c r="A4" s="3" t="s">
        <v>42</v>
      </c>
      <c r="B4" t="s">
        <v>18</v>
      </c>
      <c r="C4" t="s">
        <v>15</v>
      </c>
      <c r="D4" t="s">
        <v>43</v>
      </c>
    </row>
    <row r="5" spans="1:4" x14ac:dyDescent="0.2">
      <c r="A5" s="4" t="s">
        <v>37</v>
      </c>
      <c r="B5" s="1">
        <v>75000</v>
      </c>
      <c r="C5" s="1">
        <v>90000</v>
      </c>
      <c r="D5" s="1">
        <v>85000</v>
      </c>
    </row>
    <row r="6" spans="1:4" x14ac:dyDescent="0.2">
      <c r="A6" s="4" t="s">
        <v>38</v>
      </c>
      <c r="B6" s="1">
        <v>80000</v>
      </c>
      <c r="C6" s="1">
        <v>70000</v>
      </c>
      <c r="D6" s="1">
        <v>73333.333333333328</v>
      </c>
    </row>
    <row r="7" spans="1:4" x14ac:dyDescent="0.2">
      <c r="A7" s="4" t="s">
        <v>43</v>
      </c>
      <c r="B7" s="1">
        <v>77500</v>
      </c>
      <c r="C7" s="1">
        <v>80000</v>
      </c>
      <c r="D7" s="1">
        <v>79166.666666666672</v>
      </c>
    </row>
    <row r="30" spans="1:4" x14ac:dyDescent="0.2">
      <c r="A30" s="3" t="s">
        <v>45</v>
      </c>
      <c r="B30" s="3" t="s">
        <v>12</v>
      </c>
    </row>
    <row r="31" spans="1:4" x14ac:dyDescent="0.2">
      <c r="A31" s="3" t="s">
        <v>42</v>
      </c>
      <c r="B31" t="s">
        <v>18</v>
      </c>
      <c r="C31" t="s">
        <v>15</v>
      </c>
      <c r="D31" t="s">
        <v>43</v>
      </c>
    </row>
    <row r="32" spans="1:4" x14ac:dyDescent="0.2">
      <c r="A32" s="4" t="s">
        <v>16</v>
      </c>
      <c r="B32" s="7"/>
      <c r="C32" s="7">
        <v>3</v>
      </c>
      <c r="D32" s="7">
        <v>3</v>
      </c>
    </row>
    <row r="33" spans="1:4" x14ac:dyDescent="0.2">
      <c r="A33" s="4" t="s">
        <v>22</v>
      </c>
      <c r="B33" s="7">
        <v>1</v>
      </c>
      <c r="C33" s="7">
        <v>2</v>
      </c>
      <c r="D33" s="7">
        <v>3</v>
      </c>
    </row>
    <row r="34" spans="1:4" x14ac:dyDescent="0.2">
      <c r="A34" s="4" t="s">
        <v>23</v>
      </c>
      <c r="B34" s="7">
        <v>3</v>
      </c>
      <c r="C34" s="7">
        <v>3</v>
      </c>
      <c r="D34" s="7">
        <v>6</v>
      </c>
    </row>
    <row r="35" spans="1:4" x14ac:dyDescent="0.2">
      <c r="A35" s="4" t="s">
        <v>43</v>
      </c>
      <c r="B35" s="7">
        <v>4</v>
      </c>
      <c r="C35" s="7">
        <v>8</v>
      </c>
      <c r="D35" s="7">
        <v>12</v>
      </c>
    </row>
    <row r="58" spans="1:4" x14ac:dyDescent="0.2">
      <c r="A58" s="3" t="s">
        <v>45</v>
      </c>
      <c r="B58" s="3" t="s">
        <v>12</v>
      </c>
    </row>
    <row r="59" spans="1:4" x14ac:dyDescent="0.2">
      <c r="A59" s="3" t="s">
        <v>42</v>
      </c>
      <c r="B59" t="s">
        <v>18</v>
      </c>
      <c r="C59" t="s">
        <v>15</v>
      </c>
      <c r="D59" t="s">
        <v>43</v>
      </c>
    </row>
    <row r="60" spans="1:4" x14ac:dyDescent="0.2">
      <c r="A60" s="4" t="s">
        <v>47</v>
      </c>
      <c r="B60" s="7">
        <v>4</v>
      </c>
      <c r="C60" s="7">
        <v>8</v>
      </c>
      <c r="D60" s="7">
        <v>12</v>
      </c>
    </row>
    <row r="61" spans="1:4" x14ac:dyDescent="0.2">
      <c r="A61" s="4" t="s">
        <v>43</v>
      </c>
      <c r="B61" s="7">
        <v>4</v>
      </c>
      <c r="C61" s="7">
        <v>8</v>
      </c>
      <c r="D61" s="7">
        <v>12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0BAE-DEB1-7B40-BB9E-837305B74E34}">
  <dimension ref="A1:O6"/>
  <sheetViews>
    <sheetView showGridLines="0" tabSelected="1" zoomScale="110" zoomScaleNormal="110" workbookViewId="0">
      <selection activeCell="S18" sqref="S18"/>
    </sheetView>
  </sheetViews>
  <sheetFormatPr baseColWidth="10" defaultRowHeight="15" x14ac:dyDescent="0.2"/>
  <sheetData>
    <row r="1" spans="1:15" x14ac:dyDescent="0.2">
      <c r="A1" s="5" t="s">
        <v>48</v>
      </c>
      <c r="B1" s="6"/>
      <c r="C1" s="6"/>
      <c r="D1" s="6"/>
      <c r="E1" s="6"/>
      <c r="F1" s="6"/>
      <c r="G1" s="6"/>
      <c r="H1" s="6"/>
      <c r="I1" s="6"/>
      <c r="J1" s="6"/>
      <c r="K1" s="6"/>
      <c r="L1" s="6"/>
      <c r="M1" s="6"/>
      <c r="N1" s="6"/>
      <c r="O1" s="6"/>
    </row>
    <row r="2" spans="1:15" x14ac:dyDescent="0.2">
      <c r="A2" s="6"/>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4" spans="1:15" x14ac:dyDescent="0.2">
      <c r="A4" s="6"/>
      <c r="B4" s="6"/>
      <c r="C4" s="6"/>
      <c r="D4" s="6"/>
      <c r="E4" s="6"/>
      <c r="F4" s="6"/>
      <c r="G4" s="6"/>
      <c r="H4" s="6"/>
      <c r="I4" s="6"/>
      <c r="J4" s="6"/>
      <c r="K4" s="6"/>
      <c r="L4" s="6"/>
      <c r="M4" s="6"/>
      <c r="N4" s="6"/>
      <c r="O4" s="6"/>
    </row>
    <row r="5" spans="1:15" x14ac:dyDescent="0.2">
      <c r="A5" s="6"/>
      <c r="B5" s="6"/>
      <c r="C5" s="6"/>
      <c r="D5" s="6"/>
      <c r="E5" s="6"/>
      <c r="F5" s="6"/>
      <c r="G5" s="6"/>
      <c r="H5" s="6"/>
      <c r="I5" s="6"/>
      <c r="J5" s="6"/>
      <c r="K5" s="6"/>
      <c r="L5" s="6"/>
      <c r="M5" s="6"/>
      <c r="N5" s="6"/>
      <c r="O5" s="6"/>
    </row>
    <row r="6" spans="1:15" x14ac:dyDescent="0.2">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Haddad</cp:lastModifiedBy>
  <dcterms:created xsi:type="dcterms:W3CDTF">2022-03-18T02:50:57Z</dcterms:created>
  <dcterms:modified xsi:type="dcterms:W3CDTF">2025-11-18T21:47:39Z</dcterms:modified>
</cp:coreProperties>
</file>